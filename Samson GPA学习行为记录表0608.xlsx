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zhoux/Desktop/"/>
    </mc:Choice>
  </mc:AlternateContent>
  <xr:revisionPtr revIDLastSave="0" documentId="8_{6C5F31A4-AAA8-E047-A32B-D4CE8E759940}" xr6:coauthVersionLast="47" xr6:coauthVersionMax="47" xr10:uidLastSave="{00000000-0000-0000-0000-000000000000}"/>
  <bookViews>
    <workbookView xWindow="0" yWindow="760" windowWidth="30240" windowHeight="17460" tabRatio="500" xr2:uid="{00000000-000D-0000-FFFF-FFFF00000000}"/>
  </bookViews>
  <sheets>
    <sheet name="GPA学习行为记录表" sheetId="1" r:id="rId1"/>
    <sheet name="ap-micro" sheetId="17" r:id="rId2"/>
    <sheet name="个人项目" sheetId="16" r:id="rId3"/>
    <sheet name="AP_English_Lan" sheetId="12" r:id="rId4"/>
    <sheet name="填写说明" sheetId="2" state="hidden" r:id="rId5"/>
    <sheet name="基础信息" sheetId="3" r:id="rId6"/>
    <sheet name="Humanities_2_World_Literature" sheetId="10" r:id="rId7"/>
    <sheet name="Spanish_2_Honors" sheetId="9" r:id="rId8"/>
    <sheet name="Programming_for_Problem_Solving" sheetId="8" r:id="rId9"/>
    <sheet name="Humanities_2_World_History" sheetId="7" r:id="rId10"/>
    <sheet name="Cal_BC_Advanced" sheetId="5" r:id="rId11"/>
    <sheet name="Chemistry_Honors" sheetId="6" r:id="rId12"/>
    <sheet name="math_modelling" sheetId="15" r:id="rId13"/>
  </sheets>
  <definedNames>
    <definedName name="AP_English_Lan">AP_English_Lan!$A:$A</definedName>
    <definedName name="AP_micro">'ap-micro'!$A$1</definedName>
    <definedName name="Cal_BC_Advanced">Cal_BC_Advanced!$A:$A</definedName>
    <definedName name="Chapter_1_Communication_Skills">Spanish_2_Honors!$B:$B</definedName>
    <definedName name="Chapter_1_The_Cartesian_Plane_and_Functions">Cal_BC_Advanced!$B:$B</definedName>
    <definedName name="Chapter_10_series">Cal_BC_Advanced!$J:$J</definedName>
    <definedName name="Chapter_2_Grammar_Resources">Spanish_2_Honors!$C:$C</definedName>
    <definedName name="Chapter_2_Limits_and_Their_Properties">Cal_BC_Advanced!$C:$C</definedName>
    <definedName name="Chapter_3_Assignments_and_Practice_Skills">Spanish_2_Honors!$D:$D</definedName>
    <definedName name="Chapter_3_Differentiation">Cal_BC_Advanced!$D:$D</definedName>
    <definedName name="Chapter_4_Applications_of_Differentiation">Cal_BC_Advanced!$E:$E</definedName>
    <definedName name="Chapter_4_Vocabulary_Requirements">Spanish_2_Honors!$E:$E</definedName>
    <definedName name="Chapter_5_house">Spanish_2_Honors!$F:$F</definedName>
    <definedName name="Chapter_5_Integration">Cal_BC_Advanced!$F:$F</definedName>
    <definedName name="Chapter_6_Applications_of_Integration">Cal_BC_Advanced!$G:$G</definedName>
    <definedName name="Chapter_7_Exponential_and_Logarithmic_Functions">Cal_BC_Advanced!$H:$H</definedName>
    <definedName name="Chapter_8_Trig_Functions_and_Inverse_Trig_Functions">Cal_BC_Advanced!$I:$I</definedName>
    <definedName name="Chemistry_Honors">Chemistry_Honors!$A:$A</definedName>
    <definedName name="Humanities_2_World_History">Humanities_2_World_History!$A:$A</definedName>
    <definedName name="Humanities_2_World_Literature">Humanities_2_World_Literature!$A:$A</definedName>
    <definedName name="math_modelling">math_modelling!$A:$A</definedName>
    <definedName name="Programming_for_Problem_Solving">Programming_for_Problem_Solving!$A:$A</definedName>
    <definedName name="project">math_modelling!$B:$B</definedName>
    <definedName name="Spanish_2_Honors">Spanish_2_Honors!$A:$A</definedName>
    <definedName name="U_F_O">#REF!</definedName>
    <definedName name="Unit_1">Chemistry_Honors!$B:$B</definedName>
    <definedName name="Unit_1_The_Middle_East">Humanities_2_World_History!$B:$B</definedName>
    <definedName name="Unit_2">Chemistry_Honors!$C:$C</definedName>
    <definedName name="Unit_2_South_Asia">Humanities_2_World_History!$C:$C</definedName>
    <definedName name="Unit_3">Chemistry_Honors!$D:$D</definedName>
    <definedName name="Unit_3_East_Asia">Humanities_2_World_History!$D:$D</definedName>
    <definedName name="Unit_4">Chemistry_Honors!$E:$E</definedName>
    <definedName name="Unit_4_Globalization_and_the_Columbian_Exchange">Humanities_2_World_History!$E:$E</definedName>
    <definedName name="Unit_5_Renaissances_Reformations_and_Revolutions">Humanities_2_World_History!$F:$F</definedName>
    <definedName name="World_History">#REF!</definedName>
    <definedName name="个人项目">个人项目!$A:$A</definedName>
    <definedName name="主观评估">基础信息!$E:$E</definedName>
    <definedName name="写作套路">AP_English_Lan</definedName>
    <definedName name="南北战争后的重建政策">#REF!</definedName>
    <definedName name="复习">基础信息!$C:$C</definedName>
    <definedName name="学习">基础信息!$B:$B</definedName>
    <definedName name="客观评估">基础信息!$F:$F</definedName>
    <definedName name="工业化与城市化">#REF!</definedName>
    <definedName name="练习">基础信息!$D:$D</definedName>
    <definedName name="老王不爱喝粥">#REF!</definedName>
    <definedName name="评估方式">基础信息!#REF!</definedName>
    <definedName name="资料">#REF!</definedName>
    <definedName name="重建与重生">#REF!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38" i="1" l="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3" i="1"/>
  <c r="G132" i="1"/>
  <c r="G131" i="1"/>
  <c r="G134"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s="1"/>
  <c r="G104" i="1"/>
  <c r="G103" i="1"/>
  <c r="G102" i="1"/>
  <c r="G101" i="1"/>
  <c r="G100" i="1"/>
  <c r="G99" i="1"/>
  <c r="G98" i="1"/>
  <c r="G97" i="1"/>
  <c r="G88" i="1"/>
  <c r="G89" i="1"/>
  <c r="G90" i="1"/>
  <c r="G91" i="1"/>
  <c r="G92" i="1"/>
  <c r="G93" i="1"/>
  <c r="G94" i="1"/>
  <c r="G95" i="1"/>
  <c r="G96" i="1"/>
  <c r="G87" i="1"/>
  <c r="G86" i="1"/>
  <c r="G85" i="1"/>
  <c r="G84" i="1"/>
  <c r="G83" i="1"/>
  <c r="G82" i="1"/>
  <c r="G80" i="1"/>
  <c r="G81" i="1"/>
  <c r="G79" i="1"/>
  <c r="G78" i="1"/>
  <c r="G77" i="1"/>
  <c r="G76" i="1"/>
  <c r="G75" i="1"/>
  <c r="G74" i="1"/>
  <c r="G73" i="1"/>
  <c r="G69" i="1"/>
  <c r="G68" i="1"/>
  <c r="G72" i="1"/>
  <c r="G71" i="1"/>
  <c r="G70"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5" i="1"/>
  <c r="G34" i="1"/>
  <c r="G33" i="1"/>
  <c r="G32" i="1"/>
  <c r="G31" i="1"/>
  <c r="G30" i="1"/>
  <c r="G27" i="1"/>
  <c r="G19" i="1"/>
  <c r="G22" i="1"/>
  <c r="G21" i="1"/>
  <c r="G23" i="1"/>
  <c r="G10" i="1"/>
  <c r="G11" i="1"/>
  <c r="G36" i="1"/>
  <c r="G37" i="1"/>
  <c r="G26" i="1"/>
  <c r="G28" i="1"/>
  <c r="G29" i="1"/>
  <c r="G6" i="1"/>
  <c r="G7" i="1"/>
  <c r="G8" i="1"/>
  <c r="G12" i="1"/>
  <c r="G13" i="1"/>
  <c r="G14" i="1"/>
  <c r="G15" i="1"/>
  <c r="G16" i="1"/>
  <c r="G17" i="1"/>
  <c r="G18" i="1"/>
  <c r="G20" i="1"/>
  <c r="G24" i="1"/>
  <c r="G25" i="1"/>
  <c r="G5" i="1"/>
  <c r="G4" i="1"/>
  <c r="G3" i="1"/>
  <c r="G2" i="1"/>
</calcChain>
</file>

<file path=xl/sharedStrings.xml><?xml version="1.0" encoding="utf-8"?>
<sst xmlns="http://schemas.openxmlformats.org/spreadsheetml/2006/main" count="1688" uniqueCount="513">
  <si>
    <t>编号</t>
    <rPh sb="0" eb="1">
      <t>bian'hao</t>
    </rPh>
    <phoneticPr fontId="2" type="noConversion"/>
  </si>
  <si>
    <t>内容</t>
    <rPh sb="0" eb="1">
      <t>nei'orng</t>
    </rPh>
    <phoneticPr fontId="2" type="noConversion"/>
  </si>
  <si>
    <t>本表格可用于记录的学习行为覆盖的科目可以包括：
A. 学校在校成绩单上的学科
B. 不在学校成绩单、但会参加外部考试的学习科目（比如AP考试）
C. SAT, TOEFL等语言类考试
D. 其他自学的课程内容.</t>
    <rPh sb="0" eb="1">
      <t>ben'biao'ge'nei</t>
    </rPh>
    <rPh sb="3" eb="4">
      <t>ke'yong'yu</t>
    </rPh>
    <rPh sb="6" eb="7">
      <t>ji'lu</t>
    </rPh>
    <rPh sb="8" eb="9">
      <t>de</t>
    </rPh>
    <rPh sb="9" eb="10">
      <t>xue'xi</t>
    </rPh>
    <rPh sb="11" eb="12">
      <t>xing'wei</t>
    </rPh>
    <rPh sb="13" eb="14">
      <t>fu'gai</t>
    </rPh>
    <rPh sb="15" eb="16">
      <t>de</t>
    </rPh>
    <rPh sb="16" eb="17">
      <t>ke'mu</t>
    </rPh>
    <rPh sb="18" eb="19">
      <t>ke'yi</t>
    </rPh>
    <rPh sb="20" eb="21">
      <t>bao'kuo</t>
    </rPh>
    <rPh sb="27" eb="28">
      <t>xue'xiao</t>
    </rPh>
    <rPh sb="29" eb="30">
      <t>zai'xiao'cheng'ji'shang</t>
    </rPh>
    <rPh sb="33" eb="34">
      <t>dan</t>
    </rPh>
    <rPh sb="34" eb="35">
      <t>shang</t>
    </rPh>
    <rPh sb="35" eb="36">
      <t>de</t>
    </rPh>
    <rPh sb="36" eb="37">
      <t>xue'ke</t>
    </rPh>
    <rPh sb="42" eb="43">
      <t>bu'zai</t>
    </rPh>
    <rPh sb="44" eb="45">
      <t>xue'xiao</t>
    </rPh>
    <rPh sb="46" eb="47">
      <t>cheng'ji'dan</t>
    </rPh>
    <rPh sb="50" eb="51">
      <t>dan</t>
    </rPh>
    <rPh sb="51" eb="52">
      <t>hui</t>
    </rPh>
    <rPh sb="52" eb="53">
      <t>can'jia</t>
    </rPh>
    <rPh sb="54" eb="55">
      <t>wai'bu</t>
    </rPh>
    <rPh sb="56" eb="57">
      <t>kao'shi</t>
    </rPh>
    <rPh sb="58" eb="59">
      <t>de</t>
    </rPh>
    <rPh sb="59" eb="60">
      <t>xue'xi</t>
    </rPh>
    <rPh sb="61" eb="62">
      <t>ke'mu</t>
    </rPh>
    <rPh sb="64" eb="65">
      <t>bi'ru</t>
    </rPh>
    <rPh sb="68" eb="69">
      <t>kao'shi</t>
    </rPh>
    <rPh sb="85" eb="86">
      <t>deng</t>
    </rPh>
    <rPh sb="86" eb="87">
      <t>yu'yan</t>
    </rPh>
    <rPh sb="88" eb="89">
      <t>lei</t>
    </rPh>
    <rPh sb="89" eb="90">
      <t>kao'shi</t>
    </rPh>
    <rPh sb="95" eb="96">
      <t>qi'ta</t>
    </rPh>
    <rPh sb="97" eb="98">
      <t>zi'xue</t>
    </rPh>
    <rPh sb="99" eb="100">
      <t>de</t>
    </rPh>
    <rPh sb="100" eb="101">
      <t>ke'cheng</t>
    </rPh>
    <rPh sb="102" eb="103">
      <t>nei'rong</t>
    </rPh>
    <phoneticPr fontId="2" type="noConversion"/>
  </si>
  <si>
    <t>Date</t>
    <phoneticPr fontId="2" type="noConversion"/>
  </si>
  <si>
    <t>Day</t>
    <phoneticPr fontId="2" type="noConversion"/>
  </si>
  <si>
    <t>Start H</t>
    <phoneticPr fontId="2" type="noConversion"/>
  </si>
  <si>
    <t>Start M</t>
    <phoneticPr fontId="2" type="noConversion"/>
  </si>
  <si>
    <t>End H</t>
    <phoneticPr fontId="2" type="noConversion"/>
  </si>
  <si>
    <t>End M</t>
    <phoneticPr fontId="2" type="noConversion"/>
  </si>
  <si>
    <t>Category</t>
    <phoneticPr fontId="2" type="noConversion"/>
  </si>
  <si>
    <t>Chapter N</t>
    <phoneticPr fontId="2" type="noConversion"/>
  </si>
  <si>
    <t>Unit N</t>
    <phoneticPr fontId="2" type="noConversion"/>
  </si>
  <si>
    <t>Concept</t>
    <phoneticPr fontId="2" type="noConversion"/>
  </si>
  <si>
    <t>Form</t>
    <phoneticPr fontId="2" type="noConversion"/>
  </si>
  <si>
    <t>学校课堂</t>
    <rPh sb="0" eb="1">
      <t>xue'xiao</t>
    </rPh>
    <rPh sb="2" eb="3">
      <t>ke'tang</t>
    </rPh>
    <phoneticPr fontId="2" type="noConversion"/>
  </si>
  <si>
    <t>校外线下</t>
    <rPh sb="0" eb="1">
      <t>xiao'wai</t>
    </rPh>
    <rPh sb="2" eb="3">
      <t>xian'xia</t>
    </rPh>
    <phoneticPr fontId="2" type="noConversion"/>
  </si>
  <si>
    <t>校外线上</t>
    <rPh sb="0" eb="1">
      <t>xiao'wai'xian'shang</t>
    </rPh>
    <phoneticPr fontId="2" type="noConversion"/>
  </si>
  <si>
    <t>自主学习</t>
    <rPh sb="0" eb="1">
      <t>zi'zhu'xue'xi</t>
    </rPh>
    <phoneticPr fontId="2" type="noConversion"/>
  </si>
  <si>
    <t>校外线下</t>
    <rPh sb="0" eb="1">
      <t>xiao'wai'xian'xia</t>
    </rPh>
    <phoneticPr fontId="2" type="noConversion"/>
  </si>
  <si>
    <t>自主复习</t>
    <rPh sb="0" eb="1">
      <t>zi'zhu'fu'xi</t>
    </rPh>
    <phoneticPr fontId="2" type="noConversion"/>
  </si>
  <si>
    <t>学校课堂练习（不算分）</t>
    <rPh sb="0" eb="1">
      <t>xue'xiao'ke'tang</t>
    </rPh>
    <rPh sb="4" eb="5">
      <t>lian'xi</t>
    </rPh>
    <rPh sb="7" eb="8">
      <t>bu'saun'fen</t>
    </rPh>
    <phoneticPr fontId="2" type="noConversion"/>
  </si>
  <si>
    <t>学校课堂练习（算分）</t>
    <rPh sb="0" eb="1">
      <t>xue'xiao</t>
    </rPh>
    <rPh sb="2" eb="3">
      <t>ke'tang'lian'xi</t>
    </rPh>
    <rPh sb="7" eb="8">
      <t>suan'fen</t>
    </rPh>
    <phoneticPr fontId="2" type="noConversion"/>
  </si>
  <si>
    <t>学校作业</t>
    <rPh sb="0" eb="1">
      <t>xue'xiao</t>
    </rPh>
    <rPh sb="2" eb="3">
      <t>zuo'ye</t>
    </rPh>
    <phoneticPr fontId="2" type="noConversion"/>
  </si>
  <si>
    <t>课外作业</t>
    <rPh sb="0" eb="1">
      <t>ke'wai</t>
    </rPh>
    <rPh sb="2" eb="3">
      <t>zuo'ye</t>
    </rPh>
    <phoneticPr fontId="2" type="noConversion"/>
  </si>
  <si>
    <t>自主练习</t>
    <rPh sb="0" eb="1">
      <t>zi'zhu'lian'xi</t>
    </rPh>
    <phoneticPr fontId="2" type="noConversion"/>
  </si>
  <si>
    <t>自主预习</t>
    <rPh sb="0" eb="1">
      <t>zi'zhu'yu'xi</t>
    </rPh>
    <phoneticPr fontId="2" type="noConversion"/>
  </si>
  <si>
    <t>Subject*</t>
    <phoneticPr fontId="2" type="noConversion"/>
  </si>
  <si>
    <t>资料**</t>
    <rPh sb="0" eb="1">
      <t>zi'liao'bian'hao</t>
    </rPh>
    <phoneticPr fontId="2" type="noConversion"/>
  </si>
  <si>
    <t>*</t>
    <phoneticPr fontId="2" type="noConversion"/>
  </si>
  <si>
    <t>**</t>
    <phoneticPr fontId="2" type="noConversion"/>
  </si>
  <si>
    <t>资料包括：
A. 教材
B. 练习册
C. 试卷
D. 课件
E. 其他学习、复习、练习资料</t>
    <rPh sb="0" eb="1">
      <t>zi'liao</t>
    </rPh>
    <rPh sb="2" eb="3">
      <t>bao'kuo</t>
    </rPh>
    <rPh sb="9" eb="10">
      <t>jiao'cai</t>
    </rPh>
    <rPh sb="15" eb="16">
      <t>lian'xi'ce</t>
    </rPh>
    <rPh sb="22" eb="23">
      <t>shi'juan</t>
    </rPh>
    <rPh sb="28" eb="29">
      <t>ke'jian</t>
    </rPh>
    <rPh sb="34" eb="35">
      <t>qi'ta</t>
    </rPh>
    <rPh sb="36" eb="37">
      <t>xue'xi</t>
    </rPh>
    <rPh sb="39" eb="40">
      <t>fu'xi</t>
    </rPh>
    <rPh sb="42" eb="43">
      <t>lian'xi</t>
    </rPh>
    <rPh sb="44" eb="45">
      <t>zi'liao</t>
    </rPh>
    <phoneticPr fontId="2" type="noConversion"/>
  </si>
  <si>
    <t>评估方式</t>
    <rPh sb="0" eb="1">
      <t>ping'gu</t>
    </rPh>
    <rPh sb="2" eb="3">
      <t>fang'shi</t>
    </rPh>
    <phoneticPr fontId="2" type="noConversion"/>
  </si>
  <si>
    <t>反馈</t>
    <rPh sb="0" eb="1">
      <t>fan'kui</t>
    </rPh>
    <phoneticPr fontId="2" type="noConversion"/>
  </si>
  <si>
    <t>完全掌握</t>
    <rPh sb="0" eb="1">
      <t>wan'quan</t>
    </rPh>
    <rPh sb="2" eb="3">
      <t>zhang'wo</t>
    </rPh>
    <phoneticPr fontId="2" type="noConversion"/>
  </si>
  <si>
    <t>基本掌握，有部分没有掌握</t>
    <rPh sb="0" eb="1">
      <t>ji'ben'zhang'wo</t>
    </rPh>
    <rPh sb="5" eb="6">
      <t>you'bu'fen</t>
    </rPh>
    <rPh sb="8" eb="9">
      <t>mei'you'zhang'wo</t>
    </rPh>
    <phoneticPr fontId="2" type="noConversion"/>
  </si>
  <si>
    <t>有不少没掌握</t>
    <rPh sb="0" eb="1">
      <t>you</t>
    </rPh>
    <rPh sb="1" eb="2">
      <t>bu'shao</t>
    </rPh>
    <rPh sb="3" eb="4">
      <t>mei'zhang'wo</t>
    </rPh>
    <phoneticPr fontId="2" type="noConversion"/>
  </si>
  <si>
    <t>像在听天书</t>
    <rPh sb="0" eb="1">
      <t>xiang'zai</t>
    </rPh>
    <rPh sb="2" eb="3">
      <t>ting'tian'shu</t>
    </rPh>
    <phoneticPr fontId="2" type="noConversion"/>
  </si>
  <si>
    <t>没有听课</t>
    <rPh sb="0" eb="1">
      <t>mei'you'ting'ke</t>
    </rPh>
    <phoneticPr fontId="2" type="noConversion"/>
  </si>
  <si>
    <t>A+</t>
    <phoneticPr fontId="2" type="noConversion"/>
  </si>
  <si>
    <t>A</t>
    <phoneticPr fontId="2" type="noConversion"/>
  </si>
  <si>
    <t>A-</t>
    <phoneticPr fontId="2" type="noConversion"/>
  </si>
  <si>
    <t>B+</t>
    <phoneticPr fontId="2" type="noConversion"/>
  </si>
  <si>
    <t>B</t>
    <phoneticPr fontId="2" type="noConversion"/>
  </si>
  <si>
    <t>B-</t>
    <phoneticPr fontId="2" type="noConversion"/>
  </si>
  <si>
    <t>C+</t>
    <phoneticPr fontId="2" type="noConversion"/>
  </si>
  <si>
    <t>C</t>
    <phoneticPr fontId="2" type="noConversion"/>
  </si>
  <si>
    <t>C-</t>
    <phoneticPr fontId="2" type="noConversion"/>
  </si>
  <si>
    <t>D+</t>
    <phoneticPr fontId="2" type="noConversion"/>
  </si>
  <si>
    <t>D</t>
    <phoneticPr fontId="2" type="noConversion"/>
  </si>
  <si>
    <t>D-</t>
    <phoneticPr fontId="2" type="noConversion"/>
  </si>
  <si>
    <t>F</t>
    <phoneticPr fontId="2" type="noConversion"/>
  </si>
  <si>
    <t>备注</t>
    <rPh sb="0" eb="1">
      <t>bei'zhu</t>
    </rPh>
    <phoneticPr fontId="2" type="noConversion"/>
  </si>
  <si>
    <t>Cal_BC_Advanced</t>
    <phoneticPr fontId="2" type="noConversion"/>
  </si>
  <si>
    <t>Chapter_1_The_Cartesian_Plane_and_Functions</t>
    <phoneticPr fontId="2" type="noConversion"/>
  </si>
  <si>
    <t>Chapter_2_Limits_and_Their_Properties</t>
    <phoneticPr fontId="2" type="noConversion"/>
  </si>
  <si>
    <t>Chapter_3_Differentiation</t>
    <phoneticPr fontId="2" type="noConversion"/>
  </si>
  <si>
    <t>Chapter_5_Integration</t>
    <phoneticPr fontId="2" type="noConversion"/>
  </si>
  <si>
    <t>Chapter_4_Applications_of_Differentiation</t>
    <phoneticPr fontId="2" type="noConversion"/>
  </si>
  <si>
    <t>Real_Numbers_and_the_Real_Line</t>
    <phoneticPr fontId="2" type="noConversion"/>
  </si>
  <si>
    <t>The_Cartesian_Plane</t>
    <phoneticPr fontId="2" type="noConversion"/>
  </si>
  <si>
    <t>Graphs_of_Equations</t>
    <phoneticPr fontId="2" type="noConversion"/>
  </si>
  <si>
    <t>Lines_in_the_Plane</t>
    <phoneticPr fontId="2" type="noConversion"/>
  </si>
  <si>
    <t>Functions</t>
    <phoneticPr fontId="2" type="noConversion"/>
  </si>
  <si>
    <t>An_Introduction_to_Limits</t>
    <phoneticPr fontId="2" type="noConversion"/>
  </si>
  <si>
    <t>Techniques_for_Evaluating_Limits</t>
    <phoneticPr fontId="2" type="noConversion"/>
  </si>
  <si>
    <t>Infinite_Limits</t>
    <phoneticPr fontId="2" type="noConversion"/>
  </si>
  <si>
    <t>Limits_at_Infinity</t>
    <phoneticPr fontId="2" type="noConversion"/>
  </si>
  <si>
    <t>The_Derivative_and_the_Tangent_Line_Problem</t>
    <phoneticPr fontId="2" type="noConversion"/>
  </si>
  <si>
    <t>Basic_Differentiation_Formulas</t>
    <phoneticPr fontId="2" type="noConversion"/>
  </si>
  <si>
    <t>The_Product_and_Quotient_Rules</t>
    <phoneticPr fontId="2" type="noConversion"/>
  </si>
  <si>
    <t>The_Chain_Rule</t>
    <phoneticPr fontId="2" type="noConversion"/>
  </si>
  <si>
    <t>Implicit_Differentiation</t>
    <phoneticPr fontId="2" type="noConversion"/>
  </si>
  <si>
    <t>Related_Rates</t>
    <phoneticPr fontId="2" type="noConversion"/>
  </si>
  <si>
    <t>Extrema_on_an_Interval</t>
    <phoneticPr fontId="2" type="noConversion"/>
  </si>
  <si>
    <t>Rolles_Theorem_and_the_Mean_Value_Theorem</t>
    <phoneticPr fontId="2" type="noConversion"/>
  </si>
  <si>
    <t>Increasing_and_Decreasing_Functions_and_the_First_Derivative_Test</t>
    <phoneticPr fontId="2" type="noConversion"/>
  </si>
  <si>
    <t>Concavity_and_the_Second_Derivative_Test</t>
    <phoneticPr fontId="2" type="noConversion"/>
  </si>
  <si>
    <t>A_Summary_of_Curve_Sketching</t>
    <phoneticPr fontId="2" type="noConversion"/>
  </si>
  <si>
    <t>Optimization_Problems</t>
    <phoneticPr fontId="2" type="noConversion"/>
  </si>
  <si>
    <t>Linear_Approximations_and_Differentials</t>
    <phoneticPr fontId="2" type="noConversion"/>
  </si>
  <si>
    <t>Newtons_Method</t>
    <phoneticPr fontId="2" type="noConversion"/>
  </si>
  <si>
    <t>Antiderivatives_and_Indefinite_Integration</t>
    <phoneticPr fontId="2" type="noConversion"/>
  </si>
  <si>
    <t>Area</t>
    <phoneticPr fontId="2" type="noConversion"/>
  </si>
  <si>
    <t>Riemann_Sums_and_the_Definite_Integral</t>
    <phoneticPr fontId="2" type="noConversion"/>
  </si>
  <si>
    <t>The_Fundamental_Theorem_of_Calculus</t>
    <phoneticPr fontId="2" type="noConversion"/>
  </si>
  <si>
    <t>Integration_by_Substitution</t>
    <phoneticPr fontId="2" type="noConversion"/>
  </si>
  <si>
    <t>Chemistry_Honors</t>
    <phoneticPr fontId="2" type="noConversion"/>
  </si>
  <si>
    <t>Unit_1</t>
    <phoneticPr fontId="2" type="noConversion"/>
  </si>
  <si>
    <t>Classifying_Matter</t>
    <phoneticPr fontId="2" type="noConversion"/>
  </si>
  <si>
    <t>Measurements_and_Density</t>
    <phoneticPr fontId="2" type="noConversion"/>
  </si>
  <si>
    <t>Significant_Figures</t>
    <phoneticPr fontId="2" type="noConversion"/>
  </si>
  <si>
    <t>Dimensional_Analysis</t>
    <phoneticPr fontId="2" type="noConversion"/>
  </si>
  <si>
    <t>Accuracy_and_Precision</t>
    <phoneticPr fontId="2" type="noConversion"/>
  </si>
  <si>
    <t>Atomic_Structure</t>
    <phoneticPr fontId="2" type="noConversion"/>
  </si>
  <si>
    <t>Atomic_Mass_and_Isotopes</t>
    <phoneticPr fontId="2" type="noConversion"/>
  </si>
  <si>
    <t>Moles</t>
    <phoneticPr fontId="2" type="noConversion"/>
  </si>
  <si>
    <t>Electromagnetic_Radiation</t>
    <phoneticPr fontId="2" type="noConversion"/>
  </si>
  <si>
    <t>Quantum_Theory</t>
    <phoneticPr fontId="2" type="noConversion"/>
  </si>
  <si>
    <t>Electron_Configurations</t>
    <phoneticPr fontId="2" type="noConversion"/>
  </si>
  <si>
    <t>Periodic_Table_and_Trends</t>
    <phoneticPr fontId="2" type="noConversion"/>
  </si>
  <si>
    <t>Geography_and_Environment</t>
    <phoneticPr fontId="2" type="noConversion"/>
  </si>
  <si>
    <t>Early_Civilizations</t>
    <phoneticPr fontId="2" type="noConversion"/>
  </si>
  <si>
    <t>Major_Empires</t>
    <phoneticPr fontId="2" type="noConversion"/>
  </si>
  <si>
    <t>Religion_and_Culture</t>
    <phoneticPr fontId="2" type="noConversion"/>
  </si>
  <si>
    <t>Modern_Middle_East_Themes</t>
    <phoneticPr fontId="2" type="noConversion"/>
  </si>
  <si>
    <t>Unit_2_South_Asia</t>
    <phoneticPr fontId="2" type="noConversion"/>
  </si>
  <si>
    <t>Geography_and_Civilizations</t>
    <phoneticPr fontId="2" type="noConversion"/>
  </si>
  <si>
    <t>Religious_and_Cultural_Foundations</t>
    <phoneticPr fontId="2" type="noConversion"/>
  </si>
  <si>
    <t>Empires_and_States</t>
    <phoneticPr fontId="2" type="noConversion"/>
  </si>
  <si>
    <t>Society_and_Economy</t>
    <phoneticPr fontId="2" type="noConversion"/>
  </si>
  <si>
    <t>Colonialism_and_Independence</t>
    <phoneticPr fontId="2" type="noConversion"/>
  </si>
  <si>
    <t>Geography</t>
    <phoneticPr fontId="2" type="noConversion"/>
  </si>
  <si>
    <t>China_Dynasties_and_Political_Systems</t>
    <phoneticPr fontId="2" type="noConversion"/>
  </si>
  <si>
    <t>Philosophical_and_Religious_Traditions</t>
    <phoneticPr fontId="2" type="noConversion"/>
  </si>
  <si>
    <t>Trade_Technology_Culture</t>
    <phoneticPr fontId="2" type="noConversion"/>
  </si>
  <si>
    <t>Age_of_Exploration_Causes</t>
    <phoneticPr fontId="2" type="noConversion"/>
  </si>
  <si>
    <t>European_Exploration</t>
    <phoneticPr fontId="2" type="noConversion"/>
  </si>
  <si>
    <t>Columbian_Exchange</t>
    <phoneticPr fontId="2" type="noConversion"/>
  </si>
  <si>
    <t>Global_Trade_and_Economy</t>
    <phoneticPr fontId="2" type="noConversion"/>
  </si>
  <si>
    <t>Early_Globalization_Themes</t>
    <phoneticPr fontId="2" type="noConversion"/>
  </si>
  <si>
    <t>Renaissance</t>
    <phoneticPr fontId="2" type="noConversion"/>
  </si>
  <si>
    <t>Reformation</t>
    <phoneticPr fontId="2" type="noConversion"/>
  </si>
  <si>
    <t>Scientific_Revolution</t>
    <phoneticPr fontId="2" type="noConversion"/>
  </si>
  <si>
    <t>Enlightenment</t>
    <phoneticPr fontId="2" type="noConversion"/>
  </si>
  <si>
    <t>Humanities_2_World_History</t>
    <phoneticPr fontId="2" type="noConversion"/>
  </si>
  <si>
    <t>Unit_1_The_Middle_East</t>
    <phoneticPr fontId="2" type="noConversion"/>
  </si>
  <si>
    <t>Unit_3_East_Asia</t>
    <phoneticPr fontId="2" type="noConversion"/>
  </si>
  <si>
    <t>Unit_4_Globalization_and_the_Columbian_Exchange</t>
    <phoneticPr fontId="2" type="noConversion"/>
  </si>
  <si>
    <t>Unit_5_Renaissances_Reformations_and_Revolutions</t>
    <phoneticPr fontId="2" type="noConversion"/>
  </si>
  <si>
    <t>Programming_for_Problem_Solving</t>
    <phoneticPr fontId="2" type="noConversion"/>
  </si>
  <si>
    <t>Values_Variables_and_Data_Types</t>
    <phoneticPr fontId="2" type="noConversion"/>
  </si>
  <si>
    <t>Expressions_and_Operators</t>
    <phoneticPr fontId="2" type="noConversion"/>
  </si>
  <si>
    <t>Input_Output_and_Interaction</t>
    <phoneticPr fontId="2" type="noConversion"/>
  </si>
  <si>
    <t>Control_Flow_and_Looping</t>
    <phoneticPr fontId="2" type="noConversion"/>
  </si>
  <si>
    <t>Errors_and_Debugging</t>
    <phoneticPr fontId="2" type="noConversion"/>
  </si>
  <si>
    <t>Spanish_2_Honors</t>
    <phoneticPr fontId="2" type="noConversion"/>
  </si>
  <si>
    <t>Learning_Habits</t>
    <phoneticPr fontId="2" type="noConversion"/>
  </si>
  <si>
    <t>Duration</t>
    <phoneticPr fontId="2" type="noConversion"/>
  </si>
  <si>
    <t>Motivations</t>
    <phoneticPr fontId="2" type="noConversion"/>
  </si>
  <si>
    <t>Difficulties</t>
    <phoneticPr fontId="2" type="noConversion"/>
  </si>
  <si>
    <t>Feelings</t>
    <phoneticPr fontId="2" type="noConversion"/>
  </si>
  <si>
    <t>Recommendations</t>
    <phoneticPr fontId="2" type="noConversion"/>
  </si>
  <si>
    <t>Present_Tense</t>
    <phoneticPr fontId="2" type="noConversion"/>
  </si>
  <si>
    <t>Reflexive_Verbs</t>
    <phoneticPr fontId="2" type="noConversion"/>
  </si>
  <si>
    <t>Costar_Sentirse</t>
    <phoneticPr fontId="2" type="noConversion"/>
  </si>
  <si>
    <t>Porque_Para</t>
    <phoneticPr fontId="2" type="noConversion"/>
  </si>
  <si>
    <t>Time_and_Duration_of_Activities</t>
    <phoneticPr fontId="2" type="noConversion"/>
  </si>
  <si>
    <t>Indirect_Object_Pronouns</t>
    <phoneticPr fontId="2" type="noConversion"/>
  </si>
  <si>
    <t>Recommendation_Structures</t>
    <phoneticPr fontId="2" type="noConversion"/>
  </si>
  <si>
    <t>Porque_vs_Para_Activity</t>
    <phoneticPr fontId="2" type="noConversion"/>
  </si>
  <si>
    <t>Present-Tense_Paragraph_Completion</t>
    <phoneticPr fontId="2" type="noConversion"/>
  </si>
  <si>
    <t>Listening_Activity</t>
    <phoneticPr fontId="2" type="noConversion"/>
  </si>
  <si>
    <t>Personal_Information_Activity</t>
    <phoneticPr fontId="2" type="noConversion"/>
  </si>
  <si>
    <t>Reading_Activity</t>
    <phoneticPr fontId="2" type="noConversion"/>
  </si>
  <si>
    <t>Duration_Practice</t>
    <phoneticPr fontId="2" type="noConversion"/>
  </si>
  <si>
    <t>Learning_Vocabulary</t>
    <phoneticPr fontId="2" type="noConversion"/>
  </si>
  <si>
    <t>Feelings_Vocabulary</t>
    <phoneticPr fontId="2" type="noConversion"/>
  </si>
  <si>
    <t>Chapter_1_Communication_Skills</t>
    <phoneticPr fontId="2" type="noConversion"/>
  </si>
  <si>
    <t>Chapter_2_Grammar_Resources</t>
    <phoneticPr fontId="2" type="noConversion"/>
  </si>
  <si>
    <t>Chapter_6_Applications_of_Integration</t>
    <phoneticPr fontId="2" type="noConversion"/>
  </si>
  <si>
    <t>Area_of_a_Region_Between_Two_Curves</t>
    <phoneticPr fontId="2" type="noConversion"/>
  </si>
  <si>
    <t>Volume_The_Disc_Method</t>
    <phoneticPr fontId="2" type="noConversion"/>
  </si>
  <si>
    <t>Volume_The_Shell_Method </t>
    <phoneticPr fontId="2" type="noConversion"/>
  </si>
  <si>
    <t>Arc_Length_and_Surfaces_of_Revolution</t>
    <phoneticPr fontId="2" type="noConversion"/>
  </si>
  <si>
    <t>Fluid_Pressure_and_Fluid_Force</t>
    <phoneticPr fontId="2" type="noConversion"/>
  </si>
  <si>
    <t>Moments_Centers_of_Mass_and_Centroids</t>
    <phoneticPr fontId="2" type="noConversion"/>
  </si>
  <si>
    <t>Exponential_Functions </t>
    <phoneticPr fontId="2" type="noConversion"/>
  </si>
  <si>
    <t>Differentiation_and_Integration_of_Exponential_Functions </t>
    <phoneticPr fontId="2" type="noConversion"/>
  </si>
  <si>
    <t>Inverse_Functions </t>
    <phoneticPr fontId="2" type="noConversion"/>
  </si>
  <si>
    <t>Logarithmic_Functions </t>
    <phoneticPr fontId="2" type="noConversion"/>
  </si>
  <si>
    <t>Logarithmic_Functions_and_Integration</t>
    <phoneticPr fontId="2" type="noConversion"/>
  </si>
  <si>
    <t>Growth_and_Decay</t>
    <phoneticPr fontId="2" type="noConversion"/>
  </si>
  <si>
    <t>Indeterminate_Forms_and_Lhôpitals_Rule</t>
    <phoneticPr fontId="2" type="noConversion"/>
  </si>
  <si>
    <t>Humanities_2_World_Literature</t>
    <phoneticPr fontId="2" type="noConversion"/>
  </si>
  <si>
    <t>Born_a_Crime</t>
    <phoneticPr fontId="2" type="noConversion"/>
  </si>
  <si>
    <t>Persepolis</t>
    <phoneticPr fontId="2" type="noConversion"/>
  </si>
  <si>
    <t>Homegoing</t>
    <phoneticPr fontId="2" type="noConversion"/>
  </si>
  <si>
    <t>周六</t>
  </si>
  <si>
    <t>Maths_Modeling</t>
  </si>
  <si>
    <t>主观评估</t>
  </si>
  <si>
    <t>基本掌握，有部分没有掌握</t>
  </si>
  <si>
    <t>学习topsis和熵权法</t>
  </si>
  <si>
    <t>Cal_BC_Advanced</t>
  </si>
  <si>
    <t>复习</t>
  </si>
  <si>
    <t>自主复习</t>
  </si>
  <si>
    <t>Chapter_5_Integration</t>
  </si>
  <si>
    <t>Riemann_Sums_and_the_Definite_Integral</t>
  </si>
  <si>
    <t>Area</t>
  </si>
  <si>
    <t>完全掌握</t>
  </si>
  <si>
    <t>客观评估</t>
  </si>
  <si>
    <t>A-</t>
  </si>
  <si>
    <t>我做了这几个知识点的相关练习题，准确率90左右</t>
  </si>
  <si>
    <t>周日</t>
  </si>
  <si>
    <t>The_Fundamental_Theorem_of_Calculus</t>
  </si>
  <si>
    <t>我把5.1-5.3的回放都看了遍，复习知识点</t>
  </si>
  <si>
    <t>5.4&amp;5.5&amp;5.6</t>
  </si>
  <si>
    <t>Integration_by_Substitution</t>
  </si>
  <si>
    <t>B</t>
  </si>
  <si>
    <t>做相关习题正确率，20道有四个不会</t>
  </si>
  <si>
    <t>放完假就有chp5和6的考试</t>
  </si>
  <si>
    <t>周三</t>
  </si>
  <si>
    <t>Chapter_6_Applications_of_Integration</t>
  </si>
  <si>
    <t>Volume_The_Shell_Method </t>
  </si>
  <si>
    <t>我把6.1-6.3 回放都看了一遍。6.1就是对于求area的一些基本定义，而6.2和6.3就分别探究了两种方法</t>
  </si>
  <si>
    <t>学习</t>
  </si>
  <si>
    <t>校外线上</t>
  </si>
  <si>
    <t>有不少没掌握</t>
  </si>
  <si>
    <t>Period (M)</t>
  </si>
  <si>
    <t>Programming_for_Problem_Solving</t>
  </si>
  <si>
    <t>练习</t>
  </si>
  <si>
    <t>学校作业</t>
  </si>
  <si>
    <t>Errors_and_Debugging</t>
  </si>
  <si>
    <t>A+</t>
  </si>
  <si>
    <t xml:space="preserve"> 2个5分的作业，我都拿了满分（提交后可以自动看到分数）</t>
  </si>
  <si>
    <t>周四</t>
  </si>
  <si>
    <t>自主练习</t>
  </si>
  <si>
    <t>B+</t>
  </si>
  <si>
    <t>关于怎么相乘</t>
  </si>
  <si>
    <t>我今天又做了些chapter 5的题，尤其是在5.4关于u substitution的部分我没有听太懂的。今天做了6种题型 有1种都没思路，但是看完解析后就知道自己为什么没思路了，感觉是因为题目没有看很懂。</t>
  </si>
  <si>
    <t>我把chapter 5的每个unit都做了份笔记，总结了瞎重要公式和给自己看懂的一些笔记</t>
  </si>
  <si>
    <t>今天学习的是principle component analysis，也是另外一种评价类模型。我能明白pca的主要目的就是把很多要考量的factors压缩成几个主要的大factors。中间有一大部分关于向量的代数方面我感觉自己基础很弱，因为老师先花了很多时间和我过一些关于向量的定义和一些公式。</t>
  </si>
  <si>
    <t>讲的是ahp模型。目的就是算出一个权重矩阵然后通过公式得到每个指标的权重。 老师给我举了个简单的生活应用例子：买苹果，在三个选项里基于四个标准选，主要是计算权重。我听不懂的部分主要在于最后的验算部分，即通过一个公式确认我们的原始数据合不合理。</t>
  </si>
  <si>
    <t>周五</t>
  </si>
  <si>
    <t>自主预习</t>
  </si>
  <si>
    <t>我和tutor先复习了下chp5的u substitution, 然后预习了下感恩节回来我们会学的chp8，关于trig的。但是chp9我觉得我没有学的很懂，后面也还得看recording</t>
  </si>
  <si>
    <t>Humanities_2_World_History</t>
  </si>
  <si>
    <t>Unit_5_Renaissances_Reformations_and_Revolutions</t>
  </si>
  <si>
    <t>我要写一篇关于巴西的佩德罗王子的文章。我上午先去做了基本调研（校内没学过这个人），然后上网搜集资料，并且写introduction</t>
  </si>
  <si>
    <t>下午也是写了三个body paragraph，最后一个body要做总结，更难就放到晚上</t>
  </si>
  <si>
    <t>Humanities_2_World_Literature</t>
  </si>
  <si>
    <t>我晚上把第四个body 写完，然后conclusion还没写，因为我对于老师关于这个的要求还不是很确定，想开学去问老师。然后我也做了所有文章的citation； 但是关于怎么做footnotes的要求我也打算开学去问老师</t>
  </si>
  <si>
    <t>自主学习</t>
  </si>
  <si>
    <t>Homegoing</t>
  </si>
  <si>
    <t>读了一个章节书然后把后面写作评估的要求看了下，做准备。</t>
  </si>
  <si>
    <t>周一</t>
  </si>
  <si>
    <t>我要了去年同学的essay 然后essay做了些修改</t>
  </si>
  <si>
    <t>修改citation 和bibliography list</t>
  </si>
  <si>
    <t>Chemistry_Honors</t>
  </si>
  <si>
    <t>做了一份化学作业，里面学到的关于lewis symbol的部分我假期前那一节课关于那个知识点的没上，所以先花时间自己复习了下然后做题</t>
  </si>
  <si>
    <t>提前预习chapter 8，也是假期</t>
  </si>
  <si>
    <t>又读了一个章节</t>
  </si>
  <si>
    <t>周二</t>
  </si>
  <si>
    <t>历史老师今天上课说我有几个网页的citation不能用，所以我只能重新找了几个书的primary sources</t>
  </si>
  <si>
    <t>今天课上英语老师和我们确认了这个单元的最终评估是选择书里的一个chapter然后回答10个关于主旨的问题。我今天又读了个章节。最后在我这几天读的三个章节里我选了今天读的这个最后用的。</t>
  </si>
  <si>
    <t>今天老师第三次也是最后一次带我过了topsis法，目的就是做数据的归一化处理。我之前每次都听的很艰难这次终于全听懂了。Topsis的核心在于把一些不一样量纲的数据去除量纲，变成一些统一的没单位的数据这样好在不同因素间一起拿来比较。然后再带公式计算最优解和最差解。</t>
  </si>
  <si>
    <t>https://docs.google.com/document/d/1jbi3wvWWLFVyoGdrAnke7VfEEjOmYxBDwcU2DsVE49Q/edit?usp=sharing</t>
  </si>
  <si>
    <t>file:///Users/zhoux/Library/Containers/com.tencent.xinWeChat/Data/Library/Application%20Support/com.tencent.xinWeChat/2.0b4.0.9/576f3cb16cb899c31938264e9aa7c985/Message/MessageTemp/d16b4b4e8547d1e3c0a578da39b0c4c8/File/HIMCM-20251203.pdf</t>
  </si>
  <si>
    <t>Chapter_7_Exponential_and_Logarithmic_Functions</t>
  </si>
  <si>
    <t>Work_x000B_</t>
  </si>
  <si>
    <t>Logarithmic_Functions_and_Differentiation</t>
  </si>
  <si>
    <r>
      <rPr>
        <sz val="13"/>
        <color theme="1"/>
        <rFont val="DengXian (Body)"/>
      </rPr>
      <t>Integrals of Trigonometric Functions</t>
    </r>
    <r>
      <rPr>
        <sz val="13"/>
        <color theme="1"/>
        <rFont val="Helvetica Neue"/>
        <family val="2"/>
      </rPr>
      <t> </t>
    </r>
  </si>
  <si>
    <t>Hyperbolic_Functions</t>
  </si>
  <si>
    <t>Review_of Trigonometric_Functions</t>
  </si>
  <si>
    <t>Graphs_and _Limits_of_Trig_Functions</t>
  </si>
  <si>
    <t>Derivatives of_Trig_Functions </t>
  </si>
  <si>
    <t>Inverse_Trig_Functions_and_Differentiation </t>
  </si>
  <si>
    <t>Inverse_Trig_Functions:Integration_and_Completing_the_Square </t>
  </si>
  <si>
    <t>Chapter_8_Trig_Functions_and_Inverse_Trig_Functions</t>
  </si>
  <si>
    <t>大后天数学双单元考，所以我这几天就是把所有作业里虽有没思路的题统计在一起然后周五一起office hour去问老师。</t>
  </si>
  <si>
    <t>file:///Users/zhoux/Downloads/Chapter%205.pdf</t>
  </si>
  <si>
    <t>下周一due essay，明天due outline。我其实直接从essay开始写的，所以今天又补了下outline，然后也annotate了我的所有primary source bibliography</t>
  </si>
  <si>
    <t>https://docs.google.com/document/d/1LjNd-2G0mM4FIVeYLNRyLME554LVY-nODYvhY9oNWr4/edit?usp=sharing</t>
  </si>
  <si>
    <t>明天有个小的随堂测，10分，我就是把这个单元所有我之前的program看了一眼，然后把教科书上这相关的summary看了一下</t>
  </si>
  <si>
    <t>https://docs.google.com/document/d/1VMh-j1vrtJ1eefc9Z8p9TQPG51y4X9KapSzZMcYBIYg/edit?usp=sharing</t>
  </si>
  <si>
    <t>写了篇校报小短文，评价学校今年食堂不让用手机的新规</t>
  </si>
  <si>
    <t>申请四月的一个去好莱坞厌学项目，写了个小essay解释自己为啥喜欢中国项目</t>
  </si>
  <si>
    <t>A</t>
  </si>
  <si>
    <t>今天把chapter5全部过完了，我现在除了5.2还有些问题要找老师明天去请教，其他部分没问题。</t>
  </si>
  <si>
    <t>完全掌握这个章节的中心思想，现在开始回答这些问题了</t>
  </si>
  <si>
    <t>考试前一天我拿着去年那个相同的卷子自己选做了一遍，60分钟计时。我自己做那套卷子的时候总共12题，我有两道不会。自己做完卷子后和tutor先复习了章节概念，然后一起把我不会的题过来一下。</t>
  </si>
  <si>
    <t>明天要交的unit assignment写作</t>
  </si>
  <si>
    <t>https://docs.google.com/document/d/1EfCvZQ-Nf7np_LpoNiWt8dzM5ba28xVE436mfnkAA7o/edit?usp=sharing</t>
  </si>
  <si>
    <t>明天交的历史写作</t>
  </si>
  <si>
    <t>文章给senior看了一眼，再略微改了下</t>
  </si>
  <si>
    <t>学校课堂</t>
  </si>
  <si>
    <t>Functions</t>
  </si>
  <si>
    <t>课上做了三个练习</t>
  </si>
  <si>
    <t>learn aabout how to set return values for string functions</t>
  </si>
  <si>
    <t>Whalerider</t>
  </si>
  <si>
    <t>就给我们放电影</t>
  </si>
  <si>
    <t>用课上时间让我们最后修改essay</t>
  </si>
  <si>
    <t>Ions</t>
  </si>
  <si>
    <t>Unit_2</t>
  </si>
  <si>
    <t>Ionic_compounds</t>
  </si>
  <si>
    <t>Unit_3</t>
  </si>
  <si>
    <t>Molecular_compounds</t>
  </si>
  <si>
    <t>lewis_structure</t>
  </si>
  <si>
    <t>vsepr_theory</t>
  </si>
  <si>
    <t>看YouTube视频然后做老师留的练习题，7/8正确</t>
  </si>
  <si>
    <t>还是看油管视频，预习明天上课会讲的vsepr_theory。这个三维理论有些抽象我觉得自己没完全看懂，我也准备了几个问题明天上课问老师。</t>
  </si>
  <si>
    <t>whalerider</t>
  </si>
  <si>
    <t>Small_things_like_these</t>
  </si>
  <si>
    <t>这本书读起来不难。</t>
  </si>
  <si>
    <t>molecular_polarity</t>
  </si>
  <si>
    <t>基本上就是在lewis structure的基础上加箭头表示谁吸引谁接受电子</t>
  </si>
  <si>
    <t>Spanish_2_Honors</t>
  </si>
  <si>
    <t>Chapter_4_Vocabulary_Requirements</t>
  </si>
  <si>
    <t>Chapter_5 descriptions</t>
  </si>
  <si>
    <t>这个单元学描绘人外貌特征的词，我觉得我对一些单词还不熟悉，需要复习。</t>
  </si>
  <si>
    <t>https://docs.google.com/document/d/155hCO0M7HtVnF3sU103eaU1qPGJk2hx5-4GvU7FMCkM/edit?usp=sharing</t>
  </si>
  <si>
    <t>theorys of derivative</t>
  </si>
  <si>
    <t>上课没太听懂，要看回放，上课太困</t>
  </si>
  <si>
    <t>Differentiation_and_Integration_of_Exponential_Functions </t>
  </si>
  <si>
    <t>看了视频回放7.1&amp;7.2</t>
  </si>
  <si>
    <t>看了视频回放6.1&amp;6.4,后天晚上去找老师补考</t>
  </si>
  <si>
    <t>完成一个worksheet</t>
  </si>
  <si>
    <t>读书</t>
  </si>
  <si>
    <t>学习什么是revolution</t>
  </si>
  <si>
    <t>继续学functions return values</t>
  </si>
  <si>
    <t>作业借助网络都做完，但是也有些问题，感觉作业里有些题目上课没讲过，明天问老师</t>
  </si>
  <si>
    <t>unit这一格空着因为chp3的unit没被定义</t>
  </si>
  <si>
    <t>复习词汇+准备下周评估</t>
  </si>
  <si>
    <t>看6.2 recording</t>
  </si>
  <si>
    <t>看chp4和5</t>
  </si>
  <si>
    <t>过作业—答案+了解书时代背景</t>
  </si>
  <si>
    <t>做了一个lab然后过了下上次的作业</t>
  </si>
  <si>
    <t>给我们时间搞project</t>
  </si>
  <si>
    <t>本来想说去补考前再和tutor上一次，结果今天老师生病 得下周考了</t>
  </si>
  <si>
    <t>预习看明天上课前的pre reading</t>
  </si>
  <si>
    <t>学习euler's method</t>
  </si>
  <si>
    <t>讲解下一个评估的要求，并且让我们开始练习</t>
  </si>
  <si>
    <t>学习法国大革命</t>
  </si>
  <si>
    <t>看过往ppt，讲义，YouTube视频，回看错题</t>
  </si>
  <si>
    <t>euler's method</t>
  </si>
  <si>
    <t>学校课堂练习（不算分）</t>
  </si>
  <si>
    <t>为应对明天的presentation不断看着照片说练习流利度然后把所有方面都给背下来，然后挑了最好的版本发给吴老师看</t>
  </si>
  <si>
    <t>周二有个in class lab,老师现在就把output给我们然后让我们基于output去看这个code涵盖了哪些章节。我先看了所有章节的教科书然后写了些自己的想法，但是觉得只有50%准确率。然后我又扔给gpt后，gpt给了我答案，我发现在有些lab的部分我还是有些不清楚，所以也准备了些问题明天office hour找计算机老师去问。</t>
  </si>
  <si>
    <t>周二有unit 3点unit test，老师说可以把一些分子模型和角度记在一张cheat sheat上所以我花了些时间整理了些定义和公式。</t>
  </si>
  <si>
    <t>睡觉前又自己录音，练了几遍西班牙语。因为我觉得我在睡觉前搞这种背诵的东西效率略微高些。</t>
  </si>
  <si>
    <t>把recording看完然后上YouTube也看了些视频。公式不难，主要就是多做题熟练公式。我更着YouTube上的老师做了2道题，全对。</t>
  </si>
  <si>
    <t>今天上课就是每个人做presentation 我觉得我做的不错</t>
  </si>
  <si>
    <t>chapter 7关于euler rule收尾然后开始intro to trig</t>
  </si>
  <si>
    <t>整理了详尽的cheat card，然后看了所有课件，也做了老师给的practice set， 9/10</t>
  </si>
  <si>
    <r>
      <t xml:space="preserve">https://docs.google.com/document/d/1CH2_Qm5OZQJwghQJeNaY36jRjNh4lir7AdIrXOQYg3c/edit?usp=sharing     </t>
    </r>
    <r>
      <rPr>
        <b/>
        <u/>
        <sz val="12"/>
        <color theme="10"/>
        <rFont val="DengXian"/>
        <family val="4"/>
        <charset val="134"/>
        <scheme val="minor"/>
      </rPr>
      <t>https://docs.google.com/document/d/1Gd-ctDj1A0s6ogwbjQf9q3dBkfeCtBwCPTkj39VSV1Y/edit?tab=t.0</t>
    </r>
  </si>
  <si>
    <t>in_class_coding_lab</t>
  </si>
  <si>
    <t>明天有inclass coding lab, 我提前复习相关章节的code，记录重要代码做cheat sheet</t>
  </si>
  <si>
    <t>今天本来课上完成一个in class lab，但是因为老师布置的太难很多人根本没写出来所以老师干脆就没算分然后说我们假期回来过。但是我写出来了。</t>
  </si>
  <si>
    <t>women_leaders</t>
  </si>
  <si>
    <t>课上学了历史上很多卓越历史领导人。</t>
  </si>
  <si>
    <t>unit 3 project</t>
  </si>
  <si>
    <t>布置unit assignment：要做一个20页ppt，探讨我们最近读的两本书，due放假后</t>
  </si>
  <si>
    <t>做了5页slides了，写完了与第一本书的联系。</t>
  </si>
  <si>
    <t>theme</t>
  </si>
  <si>
    <t>https://docs.google.com/presentation/d/15lK53DoKfqx-mTQ7G0hPMZF7Y57MfXHoLYjbTWlTrdY/edit?usp=sharing</t>
  </si>
  <si>
    <t>课上完成单元考，感觉不错。</t>
  </si>
  <si>
    <t>自己选了一个woman leader（pirate zheng I sao）然后做了research做了个slide</t>
  </si>
  <si>
    <t>作业是查关于描述家的生词的英文释义。这部分和我在世外学的有些重合，所以不会的词不多</t>
  </si>
  <si>
    <t>上课就是带我们做些小游戏</t>
  </si>
  <si>
    <t>开始预习下个unit: furniture（excel公式上我不知道怎么在Spanish的chapter里加unit）</t>
  </si>
  <si>
    <t>完成今天留下的作业，并且温故今天课上新学的单词。</t>
  </si>
  <si>
    <t>继续写那个slide 今天开始写第二本书与我的thesis的联系，都是围绕对主旨的理解。</t>
  </si>
  <si>
    <t>目前第一节课我和tutor头脑风暴了一下，确定了接下来几步：
1. 设计量纲，先定义目前每个简历上候选人的“成功度”--即他们的薪资水平，薪资水平越高即代表约成功（作为一个非常实用主义的项目，我认为实用地用钱作为度量成功的唯一标准是合理的）
2. 设计量纲，即考虑年龄，学历，过往工作经历等；在做这一步的同时也要上网搜索相关文献，看看有没有可以有启发性的材料
3. 拿到简历后，用python提取简历上的信息，转化为可以放到每一个量纲里的数据（这一步老师会上课教我）
4. 建模，可以用我之前在himcm里用到的topsis熵权法
5. 最后用latex完成写作</t>
  </si>
  <si>
    <t>Chapter_1_The_Cartesian_Plane_and_Functions</t>
  </si>
  <si>
    <t>做了关于这一整个chapter的一套练习题，我是在先没有复习的情况下做的，17/20。题目是我找网上一个ap bc辅导老师要的。然后我回去回顾了我错了的题的知识点。错了的题全都是关于trigonometry的。但是trig是我们学校chapter8，我还没开始学。所以我先把这些错题记录好，等我后面学完chapter8了再回来看</t>
  </si>
  <si>
    <t>Unit_1</t>
  </si>
  <si>
    <t>Classifying_Matter</t>
  </si>
  <si>
    <t>我的化学tutor给我发了个ap chemistry unit1的讲义和练习题然后我对照着做的。同时我也意识到ap化学和我学校里的chem honor的unit安排还是有些不一样，很多在我们学校是chapter2的东西在ap里都算chapter 1.但是这些题的知识点都很简单，10道选择题全对。</t>
  </si>
  <si>
    <t>ap_lang</t>
  </si>
  <si>
    <r>
      <t>今天tutor带我过了下考试形式，考试不同写作的类型。然后给我讲了我在其中一种FRQ里会用到的rhetorical situation的6要素，我需要可以自己辨认出这6个factors-</t>
    </r>
    <r>
      <rPr>
        <b/>
        <sz val="12"/>
        <color theme="1"/>
        <rFont val="DengXian"/>
        <family val="4"/>
        <charset val="134"/>
        <scheme val="minor"/>
      </rPr>
      <t>exigence</t>
    </r>
    <r>
      <rPr>
        <sz val="12"/>
        <color theme="1"/>
        <rFont val="DengXian"/>
        <family val="2"/>
        <charset val="134"/>
        <scheme val="minor"/>
      </rPr>
      <t xml:space="preserve">：( why this message, at this moment, to the audience?)
</t>
    </r>
    <r>
      <rPr>
        <b/>
        <sz val="12"/>
        <color theme="1"/>
        <rFont val="DengXian"/>
        <family val="4"/>
        <charset val="134"/>
        <scheme val="minor"/>
      </rPr>
      <t>writer</t>
    </r>
    <r>
      <rPr>
        <sz val="12"/>
        <color theme="1"/>
        <rFont val="DengXian"/>
        <family val="2"/>
        <charset val="134"/>
        <scheme val="minor"/>
      </rPr>
      <t xml:space="preserve">
</t>
    </r>
    <r>
      <rPr>
        <b/>
        <sz val="12"/>
        <color theme="1"/>
        <rFont val="DengXian"/>
        <family val="4"/>
        <charset val="134"/>
        <scheme val="minor"/>
      </rPr>
      <t>audience</t>
    </r>
    <r>
      <rPr>
        <sz val="12"/>
        <color theme="1"/>
        <rFont val="DengXian"/>
        <family val="2"/>
        <charset val="134"/>
        <scheme val="minor"/>
      </rPr>
      <t xml:space="preserve">
</t>
    </r>
    <r>
      <rPr>
        <b/>
        <sz val="12"/>
        <color theme="1"/>
        <rFont val="DengXian"/>
        <family val="4"/>
        <charset val="134"/>
        <scheme val="minor"/>
      </rPr>
      <t>context</t>
    </r>
    <r>
      <rPr>
        <sz val="12"/>
        <color theme="1"/>
        <rFont val="DengXian"/>
        <family val="2"/>
        <charset val="134"/>
        <scheme val="minor"/>
      </rPr>
      <t xml:space="preserve"> (where and when)
</t>
    </r>
    <r>
      <rPr>
        <b/>
        <sz val="12"/>
        <color theme="1"/>
        <rFont val="DengXian"/>
        <family val="4"/>
        <charset val="134"/>
        <scheme val="minor"/>
      </rPr>
      <t>message</t>
    </r>
    <r>
      <rPr>
        <sz val="12"/>
        <color theme="1"/>
        <rFont val="DengXian"/>
        <family val="2"/>
        <charset val="134"/>
        <scheme val="minor"/>
      </rPr>
      <t xml:space="preserve">- what?
</t>
    </r>
    <r>
      <rPr>
        <b/>
        <sz val="12"/>
        <color theme="1"/>
        <rFont val="DengXian"/>
        <family val="4"/>
        <charset val="134"/>
        <scheme val="minor"/>
      </rPr>
      <t>Purpose</t>
    </r>
  </si>
  <si>
    <t>AP_English_Lan</t>
  </si>
  <si>
    <t>Unit_4</t>
  </si>
  <si>
    <t>Unit_5</t>
  </si>
  <si>
    <t>project</t>
  </si>
  <si>
    <t>brainstorm</t>
  </si>
  <si>
    <t>math_modelling</t>
  </si>
  <si>
    <t>缺乏对这个项目整体的逻辑框架</t>
  </si>
  <si>
    <t>校外线下</t>
  </si>
  <si>
    <t>1. 了解用人单位评价
2. 了解妈妈的选拔机制，就以ada那次为例，怎么选上ada的，怎么淘汰其他三个，咱们筛选出10个面试的人
3. 详尽的把ada这次的采访都给记录下来</t>
  </si>
  <si>
    <t>我认为我对unit1复习的都很好，明天上课听老师讲解。</t>
  </si>
  <si>
    <t>写作套路</t>
  </si>
  <si>
    <t>带我过了frq三种考试形式，并且给了我每一种写作的structure</t>
  </si>
  <si>
    <t>30道题里有7道不会，但是看了解析后都会了，是因为有些知识点忘了。</t>
  </si>
  <si>
    <t>复习题涵盖整个chp5,是tutor给的</t>
  </si>
  <si>
    <t>9/12 还是继续做关于u substituion的练习题</t>
  </si>
  <si>
    <t>个人项目</t>
  </si>
  <si>
    <t>和妈妈进行关于招人过程的采访。</t>
  </si>
  <si>
    <t>和妈妈进行关于招人过程的采访第二部分并且进行整理</t>
  </si>
  <si>
    <t>6/7 还是继续做关于u substituion的练习题，现在我的integration by part和带index的部分相比于polynomial的部分更弱，会招tutor巩固相关知识点</t>
  </si>
  <si>
    <t>基于昨天chp5练习完自己觉得弱的地方约了tutor上课，主要就是过了log的integration和partial integration</t>
  </si>
  <si>
    <t>entire_chp</t>
  </si>
  <si>
    <t>我让另外一个tutor带我过了下我之前一个chapter6的卷子，主要是关于integration volume/area application里对disc/washer shape section volume的计算，和求arc length</t>
  </si>
  <si>
    <t>候选人过程记录</t>
  </si>
  <si>
    <t>采访了另外两个候选人，目前总共有三个。</t>
  </si>
  <si>
    <t>和tutor上课，意识到ap和学校的honor课差别比我想的大，tutor也建议我看ap官方的tutor课，我也打算明天开始每天做一点。</t>
  </si>
  <si>
    <t>Arc_Length_and_Surfaces_of_Revolution</t>
  </si>
  <si>
    <t>重新看recording，发现surface of revolution还是有些公式上的不清楚，后来再看完教科书后清楚很多，然后做了2道教科书的练习题也都做出来了。</t>
  </si>
  <si>
    <t>和tutor过知识点，然后做了几道练习题 5/6。主要就是复习了怎么求log和ln 的derivative和integration</t>
  </si>
  <si>
    <t>26/30，做了chp5和vchp6的题。知识点都可以掌握，我认为有些题不会做是因为对出题方式不熟悉</t>
  </si>
  <si>
    <t>又做了1份</t>
  </si>
  <si>
    <t>又做了2份，并且改善了下我们之前对于候选人过往工作经历的评价机制，加入了适当的打分制。</t>
  </si>
  <si>
    <t>因为我们进度比别人快就带我们做了些趣味小游戏</t>
  </si>
  <si>
    <t>Chapter_3_Assignments_and_Practice_Skills</t>
  </si>
  <si>
    <t>Chapter_5_house</t>
  </si>
  <si>
    <t>furniture</t>
  </si>
  <si>
    <t>带我们复习假期前学的东西，有些单词生疏了，得再多背多滚</t>
  </si>
  <si>
    <t>带我们也复习了下假期前开过头的trig然后讲了下期末考试要求，会是按照ap考试的模样的卷子，然后题目会从过往ap卷子里找，所以我肯定要把近几年ap卷子都给刷完</t>
  </si>
  <si>
    <t>设计量纲</t>
  </si>
  <si>
    <t>上课做了个小考，考试范围就是放假前学过的东西</t>
  </si>
  <si>
    <t>继续复习房子的描述然后新学了比较级的语法</t>
  </si>
  <si>
    <t>复习词汇表，看着西语能对照英文（期末考试考的是阅读理解，所以没有拼写要求）</t>
  </si>
  <si>
    <t>先和tutor过了下chp8的所有知识点，发现我对于trig sub和inverse trig的计算还薄弱，要多加题练。然后今天刷了2017年bc ap的frq的part a; 第一大题全对，第二大题不在考试范围内，第三大题2/4正确率，关于 f' 和f''的graph还要在复习下。</t>
  </si>
  <si>
    <t>上课学了inverse trig(tan,cos and sin),其中老师强调tan最重要</t>
  </si>
  <si>
    <t>上课开始讲industrial revolution，然后讲了期末考要求，会是基于过往单元做一些选择题，客观事实回答，然后最后有一个long response.题目已经给我们了。（Test Format: 25 questions (5 fill in the blank, 5 true/false, 5 matching, 5 multiple choice, 5 correct the sentence), 1 long response -- prompt: pick two figures from two different units and describe how these two figures relate to two of the class themes listed below.
）</t>
  </si>
  <si>
    <t>因为我的历史和英语期末考都有in class writing并且题目都给我了，我打算提前写好些东西考试前拿给我英语的tutor去看。</t>
  </si>
  <si>
    <t xml:space="preserve"> </t>
  </si>
  <si>
    <t>上次我提交的有关revolution的essay first draft老师发下来了，我拿了90，然后老师说我修改提交后最高可以到95分。我这稿到问题是：1. 所有的in text citation 数字都应该标在句号后面而我标在前面了。 2. 每一页页右上角没写页码抬头。3. bibliography 应该是single space，而我和整个文章一样把这部分也设成了double space 4. 把老师first name 拼错了 5. 我还加了一张图片做为source但是老师说不能用图片。 反思了下这些问题，我认为这些格式规范要求虽然没有写在rubric里，但是有一些是我可以找老师去确认的（例如加不加图片，抬头），我第一次没有这么做是因为我想当然认为老师既然没写在rubric里，说明这些就不是打分看的东西。当然，把老师名字拼错也是相当愚蠢了。</t>
  </si>
  <si>
    <t>之前有个化学小测我拿23/25，做test correction可以让我拿回我被扣的一半的分</t>
  </si>
  <si>
    <t>Tuples_and_Lists</t>
  </si>
  <si>
    <t>针对今天上课学的关于arc tan的integral，做了四种类型的题目，有一种没思路，看了答案后就知道了，我认为是对题型不熟悉。</t>
  </si>
  <si>
    <t>让我们自由复习期末考</t>
  </si>
  <si>
    <t>带我理解inverse trig 中trig intergration的部分，我还是觉得不熟练，这部分要多刷题。</t>
  </si>
  <si>
    <t>做了12道练习题，无需限时（我做题速度本来就OK），有四道是不会，看了gpt后完全懂了的，其他八道都是对的</t>
  </si>
  <si>
    <t>温故背诵词汇</t>
  </si>
  <si>
    <t>先看所有的课堂回放和教科书。教科书里做了些练习题但是没有大量刷题，还是先在理解层面上</t>
  </si>
  <si>
    <t>看了老师发的期末复习讲义，里面涵盖了所有章节单元的笔记，我认为除了3.6的viscera theory还有些题不会做之外其他都没问题</t>
  </si>
  <si>
    <t>一起讲解了份作业然后讲了期末考试形式</t>
  </si>
  <si>
    <t>Chapter_9</t>
  </si>
  <si>
    <t>开了个chp9的头，不在这次考试范围内</t>
  </si>
  <si>
    <t>学校课堂练习（算分）</t>
  </si>
  <si>
    <t>Chapter_4_Applications_of_Differentiation</t>
  </si>
  <si>
    <t>做了之前一个chapter 4 unit test 的make up test（是可以带回家的），然后也借着这个复习了关于chp4的first derivative 和second derivative</t>
  </si>
  <si>
    <t>看了chp 7所有课的回放，同时也看了这个章节的教科书，拿教科书里的一些题目练习。</t>
  </si>
  <si>
    <t>预习材料以应对明天的一个martial reading check</t>
  </si>
  <si>
    <t>基于上周留的一篇文章，让我们做一些阅读理解题目，围绕theme和characterization</t>
  </si>
  <si>
    <t>讲解过往作业的卷子</t>
  </si>
  <si>
    <t>关于chapter4 基于前面做完这份练习题后有一些问题又回放recording和笔记看了一下。</t>
  </si>
  <si>
    <t>基于写昨天的make up test，昨天把一部分题目放到今天做。这份卷子总共13道题，我有2道题是justify的流程不会写，还有2道是不会做没思路，gpt给的答案不准我准备明天去请教下同学。（这个due 周五）</t>
  </si>
  <si>
    <t>发回来几个过往的test，我可以订正拿回部分credit。之前有个本来92的小测改完后可以到96</t>
  </si>
  <si>
    <t>让我们调试期末presentation的软件+自习</t>
  </si>
  <si>
    <t>给我答疑了我整理的所有困惑的知识点，然后做了17年的frq，四个大题每道大题除了最后一题没思路之外前面的都可以做出来（在老师先温故了该题目潜在的一些公式和concept后）</t>
  </si>
  <si>
    <t>为期末的presentation继续做slide和写文稿。总共10个slide目前做了2个。</t>
  </si>
  <si>
    <t>自由答疑自习</t>
  </si>
  <si>
    <t>老师画了一白板的期末考试笔记让我们记录整理</t>
  </si>
  <si>
    <t>带我们复习</t>
  </si>
  <si>
    <t>tutor带我复习了chp1 limits的一些定义和一些log derivative的章节概念</t>
  </si>
  <si>
    <t>期末是当堂写作，我写完了一个大纲包含thesis和topic sentences和argument，发给我的tutor周末和她上次课确认我的文章</t>
  </si>
  <si>
    <t>又把老师最近发的一些还没做过make up的卷子给订正掉，并且完成一份老师发的复习卷。</t>
  </si>
  <si>
    <t>自由复习</t>
  </si>
  <si>
    <t>给我们了改期末作文的时间</t>
  </si>
  <si>
    <t>去找老师补考之前没考的的两个单元考。因为是让我自己找个每人的房间考的所以我带着手机，所以两个都肯定是满分（chp5卷子我故意选错了道我本来就犹豫道选择题）。要是没有手机帮助下的话两个卷子里其中chp5的卷子， 我有3道选择不确定，但是chp6我都做的很有信心，都是全对应该</t>
  </si>
  <si>
    <t>撰写期末西班牙语presentation的script</t>
  </si>
  <si>
    <t>自由答疑+复习，我也把之前存的几道log integration的错题拿给老师答疑了</t>
  </si>
  <si>
    <t>写期末essay的draft，我打算提前写好然后背好</t>
  </si>
  <si>
    <t>和tutor过我的essay她也给了我建议让我再完善修改</t>
  </si>
  <si>
    <t>今天做了23年的frq，感觉比较简单，所有题目我都可以自己做出来，然后还补习了slope graph的concept（我原以为不考，今天找老师确认才发现考的）。目前我已经刷了24年，23年，18年和17年四套frq。争取考试前刷完10套</t>
  </si>
  <si>
    <t>继续完善西班牙语的文稿，明天全部写完后发给吴老师过目再润色下。</t>
  </si>
  <si>
    <t>学习正在进行时</t>
  </si>
  <si>
    <t>Chapter_10_series</t>
  </si>
  <si>
    <t>series_def</t>
  </si>
  <si>
    <t>校报</t>
  </si>
  <si>
    <t>参加校报会议报名写文章</t>
  </si>
  <si>
    <t>balance_equation</t>
  </si>
  <si>
    <t>复习明天的小测</t>
  </si>
  <si>
    <t>Chapter_9_polar</t>
  </si>
  <si>
    <t>重新回看了春假小马班课的录播。班课总共看了80分钟，中间有一些分心。开始看的时候很容易走神，看10分钟打几分钟游戏。后面开始做了几道课上的例题后就进入状态开始认真学了。专注时长开始是断断续续的，后面可以完整专心学40分钟。</t>
  </si>
  <si>
    <t>做ppt，为明天演讲做准备</t>
  </si>
  <si>
    <t>做小马每日打卡题，把做完的发群里明天老师发答案。我在做完选择题后分心了刷了会儿手机，然后再做的大题</t>
  </si>
  <si>
    <t>做完一套完整的mcq，发给老师。成功的完整专注了80分钟，也算是这几天里最长专注的一次了。</t>
  </si>
  <si>
    <t>坐老师留下的关于limit的选择题作业，下节课交。基本上都会做。有遇到一两道题卡壳我也标注然后去检查知识点了，都是一些exception case</t>
  </si>
  <si>
    <t>做了一张复习卷，也是作业，专注了1个半小时做的，中间只看了一次手机。几乎没分神</t>
  </si>
  <si>
    <t>读书，有点难</t>
  </si>
  <si>
    <t>我觉得小马这个老师教的还是不太行，上了几次课后iu综合的感受。我后面还是和我妈之前找的那个老师上了</t>
  </si>
  <si>
    <t>做明天交的作业，有几道题老师上次已经在课上讲过了</t>
  </si>
  <si>
    <t>复习明天关于语法的一个小测</t>
  </si>
  <si>
    <t>老师后面发答案自批</t>
  </si>
  <si>
    <t>Unit_6_WW2</t>
  </si>
  <si>
    <t>通过读老师之前发的阅读材料。考试是围绕二战的各种好导火索。我笔记也都基于复习大纲整理好了，做好回答long response的准备了</t>
  </si>
  <si>
    <t>Chapter_6_food</t>
  </si>
  <si>
    <t>Chapter_3_Differentiation</t>
  </si>
  <si>
    <t>做了6道</t>
  </si>
  <si>
    <t>课外作业</t>
  </si>
  <si>
    <t>小马仕途每日打卡， mcq5错2，frq d小问不会做</t>
  </si>
  <si>
    <t>刷了篇frq 2</t>
  </si>
  <si>
    <t>18/33， 题目有些老，但是不否认有很多我不会的知识点</t>
  </si>
  <si>
    <t>19/29，掌握的比上个chp；略微好一点。但是对于很多trig function的公式都不太熟练，还有integration by parts的部分</t>
  </si>
  <si>
    <t>准备明天英语课的group presentation</t>
  </si>
  <si>
    <t>作业是unit5的复习卷，也是检验我对于章节的理解。边做题边复习的过程</t>
  </si>
  <si>
    <t>后天有个presentation，介绍一盘菜， 我要准备文稿和slideshow</t>
  </si>
  <si>
    <t>最后复习明天的presentation，基于老师给的之前的反馈剪辑文稿，然后背诵</t>
  </si>
  <si>
    <t>复习明天的小测，通过看课件和做过往的错题</t>
  </si>
  <si>
    <t>基于老师给的大纲复习明天的印度单元考试</t>
  </si>
  <si>
    <t>模考</t>
  </si>
  <si>
    <t>明天当堂写作，今天写个大纲明天考试用</t>
  </si>
  <si>
    <t>讲解了一篇我写的frq， 说我目前的水平是4，给我提了改进建议</t>
  </si>
  <si>
    <t>之前做的有张mcq 12/30，24年真题。做错题分析，并且整理知识点，后续找tutor再要相关知识考题</t>
  </si>
  <si>
    <t>24年有计算器部分mcq的错题分析</t>
  </si>
  <si>
    <t>分析完一整套模考，frq得分48%，也就是五分里只能拿3/4，基于错题和找老师答疑，确保下次不错相同题目</t>
  </si>
  <si>
    <t>为计算机期末presentation定题</t>
  </si>
  <si>
    <t>4分</t>
  </si>
  <si>
    <t>和tutor过我刚写的。首先我得写快点，并且老师说我目前在主段落里对于evidence的paraphrase有时候过多，analysis的部分不够多。所以我只有4</t>
  </si>
  <si>
    <t>看活着电影然后写观后感作文</t>
  </si>
  <si>
    <t>研究我学校课上刷的mcq的错题，我mcq无计算机的一张卷子11/17.目前在所有刷题里我发现无计算器选择题的确是我的弱项我需要多加练习。</t>
  </si>
  <si>
    <t>总共正确率在70%，我把我的卷子发给小马老师他们说在4和5边缘情况。相较于上周的模考情况又进步但是还是和稳定五分有距离。</t>
  </si>
  <si>
    <t>自批并且订正，分析错因，今天还没订正完</t>
  </si>
  <si>
    <t>写中国单元的essay，明早交</t>
  </si>
  <si>
    <t>为历史的期末大评估调研，找sources并且annotated bibliography，为最后的大essay做准备。</t>
  </si>
  <si>
    <t>写历史期末essay的outline</t>
  </si>
  <si>
    <t>读麦克白并做阅读理解作业</t>
  </si>
  <si>
    <t>单元练习卷</t>
  </si>
  <si>
    <t>阅读理解作业</t>
  </si>
  <si>
    <t>昨天做的一个mcq 21/30 今天做了下错题分析</t>
  </si>
  <si>
    <t>讲解了我昨天做的mcq， 34/45.老师说五分标准就是错10个之内</t>
  </si>
  <si>
    <t>overall 72%, 5分，mcq部分错的比frq多</t>
  </si>
  <si>
    <t>自批+订正错题，错因总结</t>
  </si>
  <si>
    <t>为chem final essay找source</t>
  </si>
  <si>
    <t>做学校老师发的mcq难题综合卷，15/20，不会的题自己可以分析出原因</t>
  </si>
  <si>
    <t>复习明早的口语考试并且补习我所有错过的课的笔记和练习。</t>
  </si>
  <si>
    <t>复习明早的第六单元测。我过往的这个单元的小测都是满分，所以我就看了下过往的卷子，笔记和老师的ppt</t>
  </si>
  <si>
    <t>读完麦克白，然后做了老师给发的期末阅读练习卷情节都可以写出来</t>
  </si>
  <si>
    <t>复习词语准备明天的听力考试</t>
  </si>
  <si>
    <t>了解到ap micro考试的内容和所有chapter的preview；看油管视频学习了6.1 :Scarcity&amp;
6.2 Resource allocation and Resource systems</t>
  </si>
  <si>
    <t>也看了心理学ap的考试框架和总单元（总共五个单元）我之前生物学的一些知识是可以借鉴的（nerves&amp;brain structure）</t>
  </si>
  <si>
    <t>今天我也了解了ap化学的考试结构。总共9个章节，有一半章节是我今年在honor chem学过的。但是ap在很多章节都有很多拓展知识点。我今天回顾完了所有chp1点内容（1.1 Moles and Molar Mass
1.2 Mass Spectra of Elements
1.3 Elemental Composition of Pure Substances
1.4 Composition of Mixtures
1.5 Atomic Structure &amp; Electron Configuration
1.6 Photoelectron Spectroscopy
1.7 Periodic Trends
1.8 Valence Electrons &amp; Ionic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</si>
</sst>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DengXian"/>
      <family val="2"/>
      <charset val="134"/>
      <scheme val="minor"/>
    </font>
    <font>
      <b/>
      <sz val="12"/>
      <color theme="1"/>
      <name val="DengXian"/>
      <family val="2"/>
      <charset val="134"/>
      <scheme val="minor"/>
    </font>
    <font>
      <sz val="9"/>
      <name val="DengXian"/>
      <family val="2"/>
      <charset val="134"/>
      <scheme val="minor"/>
    </font>
    <font>
      <u/>
      <sz val="12"/>
      <color theme="10"/>
      <name val="DengXian"/>
      <family val="2"/>
      <charset val="134"/>
      <scheme val="minor"/>
    </font>
    <font>
      <sz val="13"/>
      <color theme="1"/>
      <name val="Helvetica Neue"/>
      <family val="2"/>
    </font>
    <font>
      <sz val="13"/>
      <color theme="1"/>
      <name val="DengXian (Body)"/>
    </font>
    <font>
      <sz val="12"/>
      <color rgb="FF000000"/>
      <name val="DengXian"/>
      <family val="2"/>
      <charset val="134"/>
      <scheme val="minor"/>
    </font>
    <font>
      <b/>
      <u/>
      <sz val="12"/>
      <color theme="10"/>
      <name val="DengXian"/>
      <family val="4"/>
      <charset val="134"/>
      <scheme val="minor"/>
    </font>
    <font>
      <b/>
      <sz val="12"/>
      <color theme="1"/>
      <name val="DengXian"/>
      <family val="4"/>
      <charset val="134"/>
      <scheme val="minor"/>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2EFDA"/>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xf numFmtId="14" fontId="1" fillId="4"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xf>
    <xf numFmtId="0" fontId="1" fillId="4" borderId="1" xfId="0" applyFont="1" applyFill="1" applyBorder="1" applyAlignment="1">
      <alignment horizontal="center" vertical="center"/>
    </xf>
    <xf numFmtId="14" fontId="0" fillId="4" borderId="1" xfId="0" applyNumberFormat="1"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vertical="center"/>
    </xf>
    <xf numFmtId="0" fontId="0" fillId="0" borderId="0" xfId="0" applyAlignment="1">
      <alignment wrapText="1"/>
    </xf>
    <xf numFmtId="0" fontId="3" fillId="4" borderId="1" xfId="1" applyFill="1" applyBorder="1" applyAlignment="1">
      <alignment horizontal="center" vertical="center"/>
    </xf>
    <xf numFmtId="0" fontId="4" fillId="0" borderId="0" xfId="0" applyFont="1"/>
    <xf numFmtId="0" fontId="6" fillId="5" borderId="1" xfId="0" applyFont="1" applyFill="1" applyBorder="1" applyAlignment="1">
      <alignment horizontal="center"/>
    </xf>
    <xf numFmtId="0" fontId="6" fillId="5" borderId="1" xfId="0" applyFont="1" applyFill="1" applyBorder="1" applyAlignment="1">
      <alignment horizontal="center" vertical="center"/>
    </xf>
    <xf numFmtId="0" fontId="6" fillId="5" borderId="2" xfId="0" applyFont="1" applyFill="1" applyBorder="1" applyAlignment="1">
      <alignment horizontal="center"/>
    </xf>
    <xf numFmtId="0" fontId="0" fillId="4"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document/d/1EfCvZQ-Nf7np_LpoNiWt8dzM5ba28xVE436mfnkAA7o/edit?usp=sharing" TargetMode="External"/><Relationship Id="rId3" Type="http://schemas.openxmlformats.org/officeDocument/2006/relationships/hyperlink" Target="../Library/Containers/com.tencent.xinWeChat/Data/Library/Application%20Support/com.tencent.xinWeChat/2.0b4.0.9/576f3cb16cb899c31938264e9aa7c985/Message/MessageTemp/571b4a47564ae1a772288c047a47372c/Library/Containers/com.tencent.xinWeChat/Data/Library/Application%20Support/com.tencent.xinWeChat/2.0b4.0.9/576f3cb16cb899c31938264e9aa7c985/Message/MessageTemp/571b4a47564ae1a772288c047a47372c/Downloads/Chapter%205.pdf" TargetMode="External"/><Relationship Id="rId7" Type="http://schemas.openxmlformats.org/officeDocument/2006/relationships/hyperlink" Target="https://docs.google.com/document/d/1jbi3wvWWLFVyoGdrAnke7VfEEjOmYxBDwcU2DsVE49Q/edit?usp=sharing" TargetMode="External"/><Relationship Id="rId2" Type="http://schemas.openxmlformats.org/officeDocument/2006/relationships/hyperlink" Target="../Library/Containers/com.tencent.xinWeChat/Data/Library/Application%20Support/com.tencent.xinWeChat/2.0b4.0.9/576f3cb16cb899c31938264e9aa7c985/Message/MessageTemp/571b4a47564ae1a772288c047a47372c/Library/Containers/com.tencent.xinWeChat/Data/Library/Application%20Support/com.tencent.xinWeChat/2.0b4.0.9/576f3cb16cb899c31938264e9aa7c985/Message/MessageTemp/571b4a47564ae1a772288c047a47372c/Library/Containers/com.tencent.xinWeChat/Data/Library/Application%20Support/com.tencent.xinWeChat/2.0b4.0.9/576f3cb16cb899c31938264e9aa7c985/Message/MessageTemp/571b4a47564ae1a772288c047a47372c/Library/Containers/com.tencent.xinWeChat/Data/Library/Application%20Support/com.tencent.xinWeChat/2.0b4.0.9/576f3cb16cb899c31938264e9aa7c985/Message/MessageTemp/d16b4b4e8547d1e3c0a578da39b0c4c8/File/HIMCM-20251203.pdf" TargetMode="External"/><Relationship Id="rId1" Type="http://schemas.openxmlformats.org/officeDocument/2006/relationships/hyperlink" Target="https://docs.google.com/document/d/1jbi3wvWWLFVyoGdrAnke7VfEEjOmYxBDwcU2DsVE49Q/edit?usp=sharing" TargetMode="External"/><Relationship Id="rId6" Type="http://schemas.openxmlformats.org/officeDocument/2006/relationships/hyperlink" Target="https://docs.google.com/document/d/1jbi3wvWWLFVyoGdrAnke7VfEEjOmYxBDwcU2DsVE49Q/edit?usp=sharing" TargetMode="External"/><Relationship Id="rId11" Type="http://schemas.openxmlformats.org/officeDocument/2006/relationships/hyperlink" Target="https://docs.google.com/document/d/1CH2_Qm5OZQJwghQJeNaY36jRjNh4lir7AdIrXOQYg3c/edit?usp=sharing" TargetMode="External"/><Relationship Id="rId5" Type="http://schemas.openxmlformats.org/officeDocument/2006/relationships/hyperlink" Target="https://docs.google.com/document/d/1VMh-j1vrtJ1eefc9Z8p9TQPG51y4X9KapSzZMcYBIYg/edit?usp=sharing" TargetMode="External"/><Relationship Id="rId10" Type="http://schemas.openxmlformats.org/officeDocument/2006/relationships/hyperlink" Target="https://docs.google.com/document/d/155hCO0M7HtVnF3sU103eaU1qPGJk2hx5-4GvU7FMCkM/edit?usp=sharing" TargetMode="External"/><Relationship Id="rId4" Type="http://schemas.openxmlformats.org/officeDocument/2006/relationships/hyperlink" Target="https://docs.google.com/document/d/1LjNd-2G0mM4FIVeYLNRyLME554LVY-nODYvhY9oNWr4/edit?usp=sharing" TargetMode="External"/><Relationship Id="rId9" Type="http://schemas.openxmlformats.org/officeDocument/2006/relationships/hyperlink" Target="https://docs.google.com/document/d/1EfCvZQ-Nf7np_LpoNiWt8dzM5ba28xVE436mfnkAA7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8"/>
  <sheetViews>
    <sheetView tabSelected="1" topLeftCell="H219" zoomScaleNormal="117" zoomScalePageLayoutView="145" workbookViewId="0">
      <selection activeCell="X234" sqref="X234"/>
    </sheetView>
  </sheetViews>
  <sheetFormatPr baseColWidth="10" defaultRowHeight="16" x14ac:dyDescent="0.2"/>
  <cols>
    <col min="1" max="1" width="11.33203125" style="10" bestFit="1" customWidth="1"/>
    <col min="2" max="2" width="5.5" style="11" bestFit="1" customWidth="1"/>
    <col min="3" max="3" width="7.33203125" style="11" customWidth="1"/>
    <col min="4" max="4" width="7.6640625" style="13" bestFit="1" customWidth="1"/>
    <col min="5" max="5" width="6.6640625" style="13" bestFit="1" customWidth="1"/>
    <col min="6" max="6" width="7" style="13" bestFit="1" customWidth="1"/>
    <col min="7" max="7" width="10.83203125" style="12"/>
    <col min="8" max="8" width="13.5" style="13" bestFit="1" customWidth="1"/>
    <col min="9" max="9" width="10.83203125" style="11"/>
    <col min="10" max="10" width="10.83203125" style="13"/>
    <col min="11" max="11" width="11.5" style="13" bestFit="1" customWidth="1"/>
    <col min="12" max="12" width="21.5" style="11" bestFit="1" customWidth="1"/>
    <col min="13" max="13" width="17.5" style="11" bestFit="1" customWidth="1"/>
    <col min="14" max="14" width="10.83203125" style="11"/>
    <col min="15" max="15" width="25.6640625" style="13" bestFit="1" customWidth="1"/>
    <col min="16" max="16" width="10.83203125" style="14"/>
    <col min="17" max="17" width="32.5" style="14" customWidth="1"/>
  </cols>
  <sheetData>
    <row r="1" spans="1:17" s="4" customFormat="1" x14ac:dyDescent="0.2">
      <c r="A1" s="5" t="s">
        <v>3</v>
      </c>
      <c r="B1" s="6" t="s">
        <v>4</v>
      </c>
      <c r="C1" s="6" t="s">
        <v>5</v>
      </c>
      <c r="D1" s="8" t="s">
        <v>6</v>
      </c>
      <c r="E1" s="8" t="s">
        <v>7</v>
      </c>
      <c r="F1" s="8" t="s">
        <v>8</v>
      </c>
      <c r="G1" s="7" t="s">
        <v>207</v>
      </c>
      <c r="H1" s="8" t="s">
        <v>26</v>
      </c>
      <c r="I1" s="6" t="s">
        <v>9</v>
      </c>
      <c r="J1" s="6" t="s">
        <v>13</v>
      </c>
      <c r="K1" s="8" t="s">
        <v>10</v>
      </c>
      <c r="L1" s="6" t="s">
        <v>11</v>
      </c>
      <c r="M1" s="6" t="s">
        <v>12</v>
      </c>
      <c r="N1" s="6" t="s">
        <v>31</v>
      </c>
      <c r="O1" s="6" t="s">
        <v>32</v>
      </c>
      <c r="P1" s="9" t="s">
        <v>27</v>
      </c>
      <c r="Q1" s="9" t="s">
        <v>51</v>
      </c>
    </row>
    <row r="2" spans="1:17" x14ac:dyDescent="0.2">
      <c r="A2" s="10">
        <v>45983</v>
      </c>
      <c r="B2" s="11" t="s">
        <v>177</v>
      </c>
      <c r="C2" s="11">
        <v>9</v>
      </c>
      <c r="D2" s="13">
        <v>30</v>
      </c>
      <c r="E2" s="13">
        <v>11</v>
      </c>
      <c r="F2" s="13">
        <v>0</v>
      </c>
      <c r="G2" s="12">
        <f>E2*60+F2-C2*60-D2</f>
        <v>90</v>
      </c>
      <c r="H2" s="13" t="s">
        <v>178</v>
      </c>
      <c r="N2" s="11" t="s">
        <v>179</v>
      </c>
      <c r="O2" s="13" t="s">
        <v>180</v>
      </c>
      <c r="Q2" s="14" t="s">
        <v>181</v>
      </c>
    </row>
    <row r="3" spans="1:17" x14ac:dyDescent="0.2">
      <c r="C3" s="11">
        <v>19</v>
      </c>
      <c r="D3" s="13">
        <v>0</v>
      </c>
      <c r="E3" s="13">
        <v>21</v>
      </c>
      <c r="F3" s="13">
        <v>0</v>
      </c>
      <c r="G3" s="12">
        <f>E3*60+F3-C3*60-D3</f>
        <v>120</v>
      </c>
      <c r="H3" s="13" t="s">
        <v>182</v>
      </c>
      <c r="I3" s="11" t="s">
        <v>183</v>
      </c>
      <c r="J3" s="13" t="s">
        <v>184</v>
      </c>
      <c r="K3" s="13" t="s">
        <v>185</v>
      </c>
      <c r="L3" s="11" t="s">
        <v>187</v>
      </c>
      <c r="N3" s="11" t="s">
        <v>179</v>
      </c>
      <c r="O3" s="13" t="s">
        <v>188</v>
      </c>
      <c r="Q3" s="14" t="s">
        <v>199</v>
      </c>
    </row>
    <row r="4" spans="1:17" x14ac:dyDescent="0.2">
      <c r="G4" s="12">
        <f>E4*60+F4-C4*60-D4</f>
        <v>0</v>
      </c>
      <c r="H4" s="13" t="s">
        <v>182</v>
      </c>
      <c r="I4" s="11" t="s">
        <v>183</v>
      </c>
      <c r="J4" s="13" t="s">
        <v>184</v>
      </c>
      <c r="K4" s="13" t="s">
        <v>185</v>
      </c>
      <c r="L4" s="11" t="s">
        <v>186</v>
      </c>
      <c r="N4" s="11" t="s">
        <v>179</v>
      </c>
      <c r="O4" s="13" t="s">
        <v>188</v>
      </c>
      <c r="Q4" s="14" t="s">
        <v>194</v>
      </c>
    </row>
    <row r="5" spans="1:17" x14ac:dyDescent="0.2">
      <c r="C5" s="11">
        <v>21</v>
      </c>
      <c r="D5" s="13">
        <v>0</v>
      </c>
      <c r="E5" s="13">
        <v>22</v>
      </c>
      <c r="F5" s="13">
        <v>0</v>
      </c>
      <c r="G5" s="12">
        <f>E5*60+F5-C5*60-D5</f>
        <v>60</v>
      </c>
      <c r="H5" s="13" t="s">
        <v>182</v>
      </c>
      <c r="I5" s="11" t="s">
        <v>183</v>
      </c>
      <c r="J5" s="13" t="s">
        <v>184</v>
      </c>
      <c r="K5" s="13" t="s">
        <v>185</v>
      </c>
      <c r="L5" s="11" t="s">
        <v>186</v>
      </c>
      <c r="N5" s="11" t="s">
        <v>189</v>
      </c>
      <c r="O5" s="13" t="s">
        <v>190</v>
      </c>
      <c r="Q5" s="14" t="s">
        <v>191</v>
      </c>
    </row>
    <row r="6" spans="1:17" x14ac:dyDescent="0.2">
      <c r="A6" s="10">
        <v>45984</v>
      </c>
      <c r="B6" s="11" t="s">
        <v>192</v>
      </c>
      <c r="C6" s="11">
        <v>12</v>
      </c>
      <c r="D6" s="13">
        <v>0</v>
      </c>
      <c r="E6" s="13">
        <v>15</v>
      </c>
      <c r="F6" s="13">
        <v>0</v>
      </c>
      <c r="G6" s="12">
        <f t="shared" ref="G6:G38" si="0">E6*60+F6-C6*60-D6</f>
        <v>180</v>
      </c>
      <c r="H6" s="13" t="s">
        <v>182</v>
      </c>
      <c r="I6" s="11" t="s">
        <v>183</v>
      </c>
      <c r="J6" s="13" t="s">
        <v>184</v>
      </c>
      <c r="K6" s="13" t="s">
        <v>185</v>
      </c>
      <c r="L6" s="11" t="s">
        <v>193</v>
      </c>
      <c r="N6" s="11" t="s">
        <v>179</v>
      </c>
      <c r="O6" s="13" t="s">
        <v>188</v>
      </c>
      <c r="Q6" s="14" t="s">
        <v>195</v>
      </c>
    </row>
    <row r="7" spans="1:17" x14ac:dyDescent="0.2">
      <c r="C7" s="11">
        <v>22</v>
      </c>
      <c r="D7" s="13">
        <v>0</v>
      </c>
      <c r="E7" s="13">
        <v>23</v>
      </c>
      <c r="F7" s="13">
        <v>30</v>
      </c>
      <c r="G7" s="12">
        <f t="shared" si="0"/>
        <v>90</v>
      </c>
      <c r="H7" s="13" t="s">
        <v>182</v>
      </c>
      <c r="I7" s="11" t="s">
        <v>209</v>
      </c>
      <c r="J7" s="13" t="s">
        <v>184</v>
      </c>
      <c r="K7" s="13" t="s">
        <v>185</v>
      </c>
      <c r="L7" s="11" t="s">
        <v>196</v>
      </c>
      <c r="N7" s="11" t="s">
        <v>189</v>
      </c>
      <c r="O7" s="13" t="s">
        <v>197</v>
      </c>
      <c r="Q7" s="14" t="s">
        <v>198</v>
      </c>
    </row>
    <row r="8" spans="1:17" x14ac:dyDescent="0.2">
      <c r="A8" s="10">
        <v>45987</v>
      </c>
      <c r="B8" s="11" t="s">
        <v>200</v>
      </c>
      <c r="C8" s="11">
        <v>16</v>
      </c>
      <c r="D8" s="13">
        <v>0</v>
      </c>
      <c r="E8" s="13">
        <v>18</v>
      </c>
      <c r="F8" s="13">
        <v>30</v>
      </c>
      <c r="G8" s="12">
        <f t="shared" si="0"/>
        <v>150</v>
      </c>
      <c r="H8" s="13" t="s">
        <v>182</v>
      </c>
      <c r="I8" s="11" t="s">
        <v>183</v>
      </c>
      <c r="J8" s="13" t="s">
        <v>184</v>
      </c>
      <c r="K8" s="13" t="s">
        <v>201</v>
      </c>
      <c r="L8" s="11" t="s">
        <v>202</v>
      </c>
      <c r="N8" s="11" t="s">
        <v>179</v>
      </c>
      <c r="O8" s="13" t="s">
        <v>188</v>
      </c>
      <c r="Q8" s="14" t="s">
        <v>203</v>
      </c>
    </row>
    <row r="9" spans="1:17" x14ac:dyDescent="0.2">
      <c r="C9" s="11">
        <v>19</v>
      </c>
      <c r="D9" s="13">
        <v>30</v>
      </c>
      <c r="E9" s="13">
        <v>21</v>
      </c>
      <c r="F9" s="13">
        <v>30</v>
      </c>
      <c r="G9" s="12">
        <v>120</v>
      </c>
      <c r="H9" s="13" t="s">
        <v>178</v>
      </c>
      <c r="I9" s="11" t="s">
        <v>204</v>
      </c>
      <c r="J9" s="13" t="s">
        <v>205</v>
      </c>
      <c r="N9" s="11" t="s">
        <v>179</v>
      </c>
      <c r="O9" s="13" t="s">
        <v>206</v>
      </c>
      <c r="P9" s="14" t="s">
        <v>217</v>
      </c>
      <c r="Q9" s="14" t="s">
        <v>221</v>
      </c>
    </row>
    <row r="10" spans="1:17" x14ac:dyDescent="0.2">
      <c r="C10" s="11">
        <v>21</v>
      </c>
      <c r="D10" s="13">
        <v>30</v>
      </c>
      <c r="E10" s="13">
        <v>22</v>
      </c>
      <c r="F10" s="13">
        <v>0</v>
      </c>
      <c r="G10" s="12">
        <f>E10*60+F10-C10*60-D10</f>
        <v>30</v>
      </c>
      <c r="H10" s="13" t="s">
        <v>208</v>
      </c>
      <c r="I10" s="11" t="s">
        <v>209</v>
      </c>
      <c r="J10" s="13" t="s">
        <v>210</v>
      </c>
      <c r="K10" s="13" t="s">
        <v>211</v>
      </c>
      <c r="N10" s="11" t="s">
        <v>189</v>
      </c>
      <c r="O10" s="13" t="s">
        <v>212</v>
      </c>
      <c r="Q10" s="14" t="s">
        <v>213</v>
      </c>
    </row>
    <row r="11" spans="1:17" x14ac:dyDescent="0.2">
      <c r="A11" s="10">
        <v>45988</v>
      </c>
      <c r="B11" s="11" t="s">
        <v>214</v>
      </c>
      <c r="C11" s="11">
        <v>15</v>
      </c>
      <c r="D11" s="13">
        <v>30</v>
      </c>
      <c r="E11" s="13">
        <v>17</v>
      </c>
      <c r="F11" s="13">
        <v>0</v>
      </c>
      <c r="G11" s="12">
        <f t="shared" si="0"/>
        <v>90</v>
      </c>
      <c r="H11" s="13" t="s">
        <v>182</v>
      </c>
      <c r="I11" s="11" t="s">
        <v>209</v>
      </c>
      <c r="J11" s="13" t="s">
        <v>215</v>
      </c>
      <c r="K11" s="13" t="s">
        <v>185</v>
      </c>
      <c r="N11" s="11" t="s">
        <v>189</v>
      </c>
      <c r="O11" s="13" t="s">
        <v>216</v>
      </c>
      <c r="Q11" s="14" t="s">
        <v>218</v>
      </c>
    </row>
    <row r="12" spans="1:17" x14ac:dyDescent="0.2">
      <c r="C12" s="11">
        <v>17</v>
      </c>
      <c r="D12" s="13">
        <v>30</v>
      </c>
      <c r="E12" s="13">
        <v>18</v>
      </c>
      <c r="F12" s="13">
        <v>45</v>
      </c>
      <c r="G12" s="12">
        <f t="shared" si="0"/>
        <v>75</v>
      </c>
      <c r="H12" s="13" t="s">
        <v>182</v>
      </c>
      <c r="I12" s="11" t="s">
        <v>183</v>
      </c>
      <c r="J12" s="13" t="s">
        <v>215</v>
      </c>
      <c r="K12" s="13" t="s">
        <v>185</v>
      </c>
      <c r="N12" s="11" t="s">
        <v>179</v>
      </c>
      <c r="O12" s="13" t="s">
        <v>188</v>
      </c>
      <c r="P12" s="14" t="s">
        <v>219</v>
      </c>
    </row>
    <row r="13" spans="1:17" x14ac:dyDescent="0.2">
      <c r="C13" s="11">
        <v>19</v>
      </c>
      <c r="D13" s="13">
        <v>30</v>
      </c>
      <c r="E13" s="13">
        <v>21</v>
      </c>
      <c r="F13" s="13">
        <v>0</v>
      </c>
      <c r="G13" s="12">
        <f t="shared" si="0"/>
        <v>90</v>
      </c>
      <c r="H13" s="13" t="s">
        <v>178</v>
      </c>
      <c r="I13" s="11" t="s">
        <v>204</v>
      </c>
      <c r="J13" s="13" t="s">
        <v>205</v>
      </c>
      <c r="N13" s="11" t="s">
        <v>179</v>
      </c>
      <c r="O13" s="13" t="s">
        <v>206</v>
      </c>
      <c r="P13" s="14" t="s">
        <v>220</v>
      </c>
    </row>
    <row r="14" spans="1:17" x14ac:dyDescent="0.2">
      <c r="A14" s="10">
        <v>45989</v>
      </c>
      <c r="B14" s="11" t="s">
        <v>222</v>
      </c>
      <c r="C14" s="11">
        <v>13</v>
      </c>
      <c r="D14" s="13">
        <v>0</v>
      </c>
      <c r="E14" s="13">
        <v>15</v>
      </c>
      <c r="F14" s="13">
        <v>0</v>
      </c>
      <c r="G14" s="12">
        <f t="shared" si="0"/>
        <v>120</v>
      </c>
      <c r="H14" s="13" t="s">
        <v>182</v>
      </c>
      <c r="I14" s="11" t="s">
        <v>204</v>
      </c>
      <c r="J14" s="13" t="s">
        <v>223</v>
      </c>
      <c r="N14" s="11" t="s">
        <v>179</v>
      </c>
      <c r="O14" s="13" t="s">
        <v>180</v>
      </c>
      <c r="Q14" s="14" t="s">
        <v>224</v>
      </c>
    </row>
    <row r="15" spans="1:17" x14ac:dyDescent="0.2">
      <c r="A15" s="10">
        <v>45991</v>
      </c>
      <c r="B15" s="11" t="s">
        <v>192</v>
      </c>
      <c r="C15" s="11">
        <v>9</v>
      </c>
      <c r="D15" s="13">
        <v>0</v>
      </c>
      <c r="E15" s="13">
        <v>11</v>
      </c>
      <c r="F15" s="13">
        <v>0</v>
      </c>
      <c r="G15" s="12">
        <f t="shared" si="0"/>
        <v>120</v>
      </c>
      <c r="H15" s="13" t="s">
        <v>225</v>
      </c>
      <c r="I15" s="11" t="s">
        <v>209</v>
      </c>
      <c r="J15" s="13" t="s">
        <v>210</v>
      </c>
      <c r="K15" s="13" t="s">
        <v>226</v>
      </c>
      <c r="N15" s="11" t="s">
        <v>179</v>
      </c>
      <c r="O15" s="13" t="s">
        <v>188</v>
      </c>
      <c r="Q15" s="14" t="s">
        <v>227</v>
      </c>
    </row>
    <row r="16" spans="1:17" x14ac:dyDescent="0.2">
      <c r="C16" s="11">
        <v>15</v>
      </c>
      <c r="D16" s="13">
        <v>0</v>
      </c>
      <c r="E16" s="13">
        <v>18</v>
      </c>
      <c r="F16" s="13">
        <v>0</v>
      </c>
      <c r="G16" s="12">
        <f t="shared" si="0"/>
        <v>180</v>
      </c>
      <c r="H16" s="13" t="s">
        <v>225</v>
      </c>
      <c r="I16" s="11" t="s">
        <v>209</v>
      </c>
      <c r="J16" s="13" t="s">
        <v>210</v>
      </c>
      <c r="K16" s="13" t="s">
        <v>226</v>
      </c>
      <c r="N16" s="11" t="s">
        <v>179</v>
      </c>
      <c r="O16" s="13" t="s">
        <v>188</v>
      </c>
      <c r="Q16" s="14" t="s">
        <v>228</v>
      </c>
    </row>
    <row r="17" spans="1:17" x14ac:dyDescent="0.2">
      <c r="C17" s="11">
        <v>19</v>
      </c>
      <c r="D17" s="13">
        <v>30</v>
      </c>
      <c r="E17" s="13">
        <v>21</v>
      </c>
      <c r="F17" s="13">
        <v>0</v>
      </c>
      <c r="G17" s="12">
        <f t="shared" si="0"/>
        <v>90</v>
      </c>
      <c r="H17" s="13" t="s">
        <v>225</v>
      </c>
      <c r="I17" s="11" t="s">
        <v>209</v>
      </c>
      <c r="J17" s="13" t="s">
        <v>210</v>
      </c>
      <c r="K17" s="13" t="s">
        <v>226</v>
      </c>
      <c r="N17" s="11" t="s">
        <v>179</v>
      </c>
      <c r="O17" s="13" t="s">
        <v>188</v>
      </c>
      <c r="Q17" s="14" t="s">
        <v>230</v>
      </c>
    </row>
    <row r="18" spans="1:17" x14ac:dyDescent="0.2">
      <c r="C18" s="11">
        <v>21</v>
      </c>
      <c r="D18" s="13">
        <v>30</v>
      </c>
      <c r="E18" s="13">
        <v>22</v>
      </c>
      <c r="F18" s="13">
        <v>15</v>
      </c>
      <c r="G18" s="12">
        <f t="shared" si="0"/>
        <v>45</v>
      </c>
      <c r="H18" s="13" t="s">
        <v>229</v>
      </c>
      <c r="I18" s="11" t="s">
        <v>204</v>
      </c>
      <c r="J18" s="13" t="s">
        <v>231</v>
      </c>
      <c r="K18" s="13" t="s">
        <v>232</v>
      </c>
      <c r="N18" s="11" t="s">
        <v>179</v>
      </c>
      <c r="O18" s="13" t="s">
        <v>188</v>
      </c>
      <c r="Q18" s="14" t="s">
        <v>233</v>
      </c>
    </row>
    <row r="19" spans="1:17" x14ac:dyDescent="0.2">
      <c r="A19" s="10">
        <v>45992</v>
      </c>
      <c r="B19" s="11" t="s">
        <v>234</v>
      </c>
      <c r="C19" s="11">
        <v>9</v>
      </c>
      <c r="D19" s="13">
        <v>15</v>
      </c>
      <c r="E19" s="13">
        <v>11</v>
      </c>
      <c r="F19" s="13">
        <v>30</v>
      </c>
      <c r="G19" s="12">
        <f>E19*60+F19-C19*60-D19</f>
        <v>135</v>
      </c>
      <c r="H19" s="13" t="s">
        <v>225</v>
      </c>
      <c r="I19" s="11" t="s">
        <v>204</v>
      </c>
      <c r="J19" s="13" t="s">
        <v>231</v>
      </c>
      <c r="K19" s="13" t="s">
        <v>226</v>
      </c>
      <c r="N19" s="11" t="s">
        <v>179</v>
      </c>
      <c r="O19" s="13" t="s">
        <v>188</v>
      </c>
      <c r="Q19" s="14" t="s">
        <v>235</v>
      </c>
    </row>
    <row r="20" spans="1:17" x14ac:dyDescent="0.2">
      <c r="C20" s="11">
        <v>13</v>
      </c>
      <c r="D20" s="13">
        <v>30</v>
      </c>
      <c r="E20" s="13">
        <v>15</v>
      </c>
      <c r="F20" s="13">
        <v>0</v>
      </c>
      <c r="G20" s="12">
        <f t="shared" si="0"/>
        <v>90</v>
      </c>
      <c r="H20" s="13" t="s">
        <v>225</v>
      </c>
      <c r="I20" s="11" t="s">
        <v>204</v>
      </c>
      <c r="J20" s="13" t="s">
        <v>231</v>
      </c>
      <c r="K20" s="13" t="s">
        <v>226</v>
      </c>
      <c r="N20" s="11" t="s">
        <v>179</v>
      </c>
      <c r="O20" s="13" t="s">
        <v>188</v>
      </c>
      <c r="Q20" s="14" t="s">
        <v>236</v>
      </c>
    </row>
    <row r="21" spans="1:17" x14ac:dyDescent="0.2">
      <c r="C21" s="11">
        <v>15</v>
      </c>
      <c r="D21" s="13">
        <v>0</v>
      </c>
      <c r="E21" s="13">
        <v>16</v>
      </c>
      <c r="F21" s="13">
        <v>30</v>
      </c>
      <c r="G21" s="12">
        <f t="shared" si="0"/>
        <v>90</v>
      </c>
      <c r="H21" s="13" t="s">
        <v>237</v>
      </c>
      <c r="I21" s="11" t="s">
        <v>209</v>
      </c>
      <c r="J21" s="13" t="s">
        <v>210</v>
      </c>
      <c r="N21" s="11" t="s">
        <v>179</v>
      </c>
      <c r="O21" s="13" t="s">
        <v>188</v>
      </c>
      <c r="Q21" s="14" t="s">
        <v>238</v>
      </c>
    </row>
    <row r="22" spans="1:17" x14ac:dyDescent="0.2">
      <c r="C22" s="11">
        <v>19</v>
      </c>
      <c r="D22" s="13">
        <v>30</v>
      </c>
      <c r="E22" s="13">
        <v>21</v>
      </c>
      <c r="F22" s="13">
        <v>30</v>
      </c>
      <c r="G22" s="12">
        <f>E22*60+F22-C22*60-D22</f>
        <v>120</v>
      </c>
      <c r="H22" s="13" t="s">
        <v>182</v>
      </c>
      <c r="I22" s="11" t="s">
        <v>204</v>
      </c>
      <c r="J22" s="13" t="s">
        <v>223</v>
      </c>
      <c r="N22" s="11" t="s">
        <v>179</v>
      </c>
      <c r="O22" s="13" t="s">
        <v>180</v>
      </c>
      <c r="Q22" s="14" t="s">
        <v>239</v>
      </c>
    </row>
    <row r="23" spans="1:17" x14ac:dyDescent="0.2">
      <c r="C23" s="11">
        <v>22</v>
      </c>
      <c r="D23" s="13">
        <v>30</v>
      </c>
      <c r="E23" s="13">
        <v>23</v>
      </c>
      <c r="F23" s="13">
        <v>15</v>
      </c>
      <c r="G23" s="12">
        <f>E23*60+F23-C23*60-D23</f>
        <v>45</v>
      </c>
      <c r="H23" s="13" t="s">
        <v>229</v>
      </c>
      <c r="I23" s="11" t="s">
        <v>204</v>
      </c>
      <c r="J23" s="13" t="s">
        <v>231</v>
      </c>
      <c r="K23" s="13" t="s">
        <v>232</v>
      </c>
      <c r="N23" s="11" t="s">
        <v>179</v>
      </c>
      <c r="O23" s="13" t="s">
        <v>188</v>
      </c>
      <c r="Q23" s="14" t="s">
        <v>240</v>
      </c>
    </row>
    <row r="24" spans="1:17" x14ac:dyDescent="0.2">
      <c r="A24" s="10">
        <v>45993</v>
      </c>
      <c r="B24" s="11" t="s">
        <v>241</v>
      </c>
      <c r="C24" s="11">
        <v>19</v>
      </c>
      <c r="D24" s="13">
        <v>0</v>
      </c>
      <c r="E24" s="13">
        <v>21</v>
      </c>
      <c r="F24" s="13">
        <v>0</v>
      </c>
      <c r="G24" s="12">
        <f t="shared" si="0"/>
        <v>120</v>
      </c>
      <c r="H24" s="13" t="s">
        <v>178</v>
      </c>
      <c r="I24" s="11" t="s">
        <v>204</v>
      </c>
      <c r="J24" s="13" t="s">
        <v>205</v>
      </c>
      <c r="N24" s="11" t="s">
        <v>179</v>
      </c>
      <c r="O24" s="13" t="s">
        <v>188</v>
      </c>
      <c r="P24" s="16" t="s">
        <v>246</v>
      </c>
      <c r="Q24" s="14" t="s">
        <v>244</v>
      </c>
    </row>
    <row r="25" spans="1:17" x14ac:dyDescent="0.2">
      <c r="C25" s="11">
        <v>21</v>
      </c>
      <c r="D25" s="13">
        <v>30</v>
      </c>
      <c r="E25" s="13">
        <v>22</v>
      </c>
      <c r="F25" s="13">
        <v>30</v>
      </c>
      <c r="G25" s="12">
        <f t="shared" si="0"/>
        <v>60</v>
      </c>
      <c r="H25" s="13" t="s">
        <v>225</v>
      </c>
      <c r="I25" s="11" t="s">
        <v>209</v>
      </c>
      <c r="J25" s="13" t="s">
        <v>210</v>
      </c>
      <c r="K25" s="13" t="s">
        <v>226</v>
      </c>
      <c r="N25" s="11" t="s">
        <v>179</v>
      </c>
      <c r="O25" s="13" t="s">
        <v>188</v>
      </c>
      <c r="Q25" s="14" t="s">
        <v>242</v>
      </c>
    </row>
    <row r="26" spans="1:17" x14ac:dyDescent="0.2">
      <c r="C26" s="11">
        <v>22</v>
      </c>
      <c r="D26" s="13">
        <v>45</v>
      </c>
      <c r="E26" s="13">
        <v>23</v>
      </c>
      <c r="F26" s="13">
        <v>30</v>
      </c>
      <c r="G26" s="12">
        <f>E26*60+F26-C26*60-D26</f>
        <v>45</v>
      </c>
      <c r="H26" s="13" t="s">
        <v>229</v>
      </c>
      <c r="I26" s="11" t="s">
        <v>204</v>
      </c>
      <c r="J26" s="13" t="s">
        <v>231</v>
      </c>
      <c r="K26" s="13" t="s">
        <v>232</v>
      </c>
      <c r="N26" s="11" t="s">
        <v>179</v>
      </c>
      <c r="O26" s="13" t="s">
        <v>188</v>
      </c>
      <c r="P26" s="16" t="s">
        <v>245</v>
      </c>
      <c r="Q26" s="14" t="s">
        <v>243</v>
      </c>
    </row>
    <row r="27" spans="1:17" x14ac:dyDescent="0.2">
      <c r="A27" s="10">
        <v>45994</v>
      </c>
      <c r="B27" s="11" t="s">
        <v>200</v>
      </c>
      <c r="C27" s="11">
        <v>16</v>
      </c>
      <c r="D27" s="13">
        <v>0</v>
      </c>
      <c r="E27" s="13">
        <v>17</v>
      </c>
      <c r="F27" s="13">
        <v>30</v>
      </c>
      <c r="G27" s="12">
        <f>E27*60+F27-C27*60-D27</f>
        <v>90</v>
      </c>
      <c r="H27" s="13" t="s">
        <v>182</v>
      </c>
      <c r="I27" s="11" t="s">
        <v>209</v>
      </c>
      <c r="J27" s="13" t="s">
        <v>185</v>
      </c>
      <c r="L27" s="11" t="s">
        <v>187</v>
      </c>
      <c r="N27" s="11" t="s">
        <v>179</v>
      </c>
      <c r="O27" s="13" t="s">
        <v>180</v>
      </c>
      <c r="P27" s="16" t="s">
        <v>259</v>
      </c>
      <c r="Q27" s="14" t="s">
        <v>258</v>
      </c>
    </row>
    <row r="28" spans="1:17" x14ac:dyDescent="0.2">
      <c r="C28" s="11">
        <v>19</v>
      </c>
      <c r="D28" s="13">
        <v>30</v>
      </c>
      <c r="E28" s="13">
        <v>21</v>
      </c>
      <c r="F28" s="13">
        <v>0</v>
      </c>
      <c r="G28" s="12">
        <f t="shared" si="0"/>
        <v>90</v>
      </c>
      <c r="H28" s="13" t="s">
        <v>225</v>
      </c>
      <c r="I28" s="11" t="s">
        <v>209</v>
      </c>
      <c r="J28" s="11" t="s">
        <v>210</v>
      </c>
      <c r="K28" s="13" t="s">
        <v>226</v>
      </c>
      <c r="L28" s="13"/>
      <c r="N28" s="11" t="s">
        <v>189</v>
      </c>
      <c r="P28" s="16" t="s">
        <v>261</v>
      </c>
      <c r="Q28" s="14" t="s">
        <v>260</v>
      </c>
    </row>
    <row r="29" spans="1:17" x14ac:dyDescent="0.2">
      <c r="C29" s="11">
        <v>21</v>
      </c>
      <c r="D29" s="13">
        <v>40</v>
      </c>
      <c r="E29" s="13">
        <v>22</v>
      </c>
      <c r="F29" s="13">
        <v>30</v>
      </c>
      <c r="G29" s="12">
        <f t="shared" si="0"/>
        <v>50</v>
      </c>
      <c r="H29" s="13" t="s">
        <v>208</v>
      </c>
      <c r="I29" s="11" t="s">
        <v>183</v>
      </c>
      <c r="N29" s="11" t="s">
        <v>179</v>
      </c>
      <c r="O29" s="13" t="s">
        <v>188</v>
      </c>
      <c r="Q29" s="14" t="s">
        <v>262</v>
      </c>
    </row>
    <row r="30" spans="1:17" x14ac:dyDescent="0.2">
      <c r="A30" s="10">
        <v>45995</v>
      </c>
      <c r="B30" s="11" t="s">
        <v>214</v>
      </c>
      <c r="C30" s="11">
        <v>19</v>
      </c>
      <c r="D30" s="13">
        <v>0</v>
      </c>
      <c r="E30" s="13">
        <v>19</v>
      </c>
      <c r="F30" s="13">
        <v>30</v>
      </c>
      <c r="G30" s="12">
        <f t="shared" si="0"/>
        <v>30</v>
      </c>
      <c r="P30" s="16" t="s">
        <v>263</v>
      </c>
      <c r="Q30" s="14" t="s">
        <v>264</v>
      </c>
    </row>
    <row r="31" spans="1:17" x14ac:dyDescent="0.2">
      <c r="C31" s="11">
        <v>19</v>
      </c>
      <c r="D31" s="13">
        <v>30</v>
      </c>
      <c r="E31" s="13">
        <v>20</v>
      </c>
      <c r="F31" s="13">
        <v>0</v>
      </c>
      <c r="G31" s="12">
        <f>E31*60+F31-C31*60-D31</f>
        <v>30</v>
      </c>
      <c r="Q31" s="14" t="s">
        <v>265</v>
      </c>
    </row>
    <row r="32" spans="1:17" x14ac:dyDescent="0.2">
      <c r="C32" s="11">
        <v>20</v>
      </c>
      <c r="D32" s="13">
        <v>30</v>
      </c>
      <c r="E32" s="13">
        <v>22</v>
      </c>
      <c r="F32" s="13">
        <v>0</v>
      </c>
      <c r="G32" s="12">
        <f t="shared" si="0"/>
        <v>90</v>
      </c>
      <c r="H32" s="13" t="s">
        <v>182</v>
      </c>
      <c r="I32" s="11" t="s">
        <v>209</v>
      </c>
      <c r="J32" s="13" t="s">
        <v>215</v>
      </c>
      <c r="K32" s="13" t="s">
        <v>185</v>
      </c>
      <c r="L32" s="11" t="s">
        <v>196</v>
      </c>
      <c r="N32" s="11" t="s">
        <v>189</v>
      </c>
      <c r="O32" s="13" t="s">
        <v>266</v>
      </c>
      <c r="Q32" s="14" t="s">
        <v>267</v>
      </c>
    </row>
    <row r="33" spans="1:17" x14ac:dyDescent="0.2">
      <c r="C33" s="11">
        <v>22</v>
      </c>
      <c r="D33" s="13">
        <v>0</v>
      </c>
      <c r="E33" s="13">
        <v>23</v>
      </c>
      <c r="F33" s="13">
        <v>0</v>
      </c>
      <c r="G33" s="12">
        <f t="shared" si="0"/>
        <v>60</v>
      </c>
      <c r="H33" s="13" t="s">
        <v>229</v>
      </c>
      <c r="I33" s="11" t="s">
        <v>209</v>
      </c>
      <c r="J33" s="13" t="s">
        <v>210</v>
      </c>
      <c r="K33" s="13" t="s">
        <v>232</v>
      </c>
      <c r="N33" s="13" t="s">
        <v>179</v>
      </c>
      <c r="O33" s="13" t="s">
        <v>188</v>
      </c>
      <c r="P33" s="16" t="s">
        <v>245</v>
      </c>
      <c r="Q33" s="14" t="s">
        <v>268</v>
      </c>
    </row>
    <row r="34" spans="1:17" x14ac:dyDescent="0.2">
      <c r="A34" s="10">
        <v>45996</v>
      </c>
      <c r="B34" s="11" t="s">
        <v>222</v>
      </c>
      <c r="C34" s="11">
        <v>19</v>
      </c>
      <c r="D34" s="13">
        <v>30</v>
      </c>
      <c r="E34" s="13">
        <v>22</v>
      </c>
      <c r="F34" s="13">
        <v>30</v>
      </c>
      <c r="G34" s="12">
        <f t="shared" si="0"/>
        <v>180</v>
      </c>
      <c r="H34" s="13" t="s">
        <v>182</v>
      </c>
      <c r="I34" s="11" t="s">
        <v>183</v>
      </c>
      <c r="J34" s="13" t="s">
        <v>205</v>
      </c>
      <c r="K34" s="13" t="s">
        <v>185</v>
      </c>
      <c r="N34" s="13" t="s">
        <v>189</v>
      </c>
      <c r="O34" s="13" t="s">
        <v>216</v>
      </c>
      <c r="P34" s="13"/>
      <c r="Q34" s="14" t="s">
        <v>269</v>
      </c>
    </row>
    <row r="35" spans="1:17" x14ac:dyDescent="0.2">
      <c r="A35" s="10">
        <v>45997</v>
      </c>
      <c r="B35" s="11" t="s">
        <v>177</v>
      </c>
      <c r="C35" s="11">
        <v>0</v>
      </c>
      <c r="D35" s="13">
        <v>0</v>
      </c>
      <c r="E35" s="13">
        <v>1</v>
      </c>
      <c r="F35" s="13">
        <v>0</v>
      </c>
      <c r="G35" s="12">
        <f>E35*60+F35-C35*60-D35</f>
        <v>60</v>
      </c>
      <c r="H35" s="13" t="s">
        <v>229</v>
      </c>
      <c r="I35" s="11" t="s">
        <v>204</v>
      </c>
      <c r="J35" s="13" t="s">
        <v>231</v>
      </c>
      <c r="K35" s="13" t="s">
        <v>232</v>
      </c>
      <c r="N35" s="11" t="s">
        <v>189</v>
      </c>
      <c r="P35" s="16" t="s">
        <v>245</v>
      </c>
      <c r="Q35" s="14" t="s">
        <v>270</v>
      </c>
    </row>
    <row r="36" spans="1:17" x14ac:dyDescent="0.2">
      <c r="A36" s="10">
        <v>45998</v>
      </c>
      <c r="B36" s="11" t="s">
        <v>192</v>
      </c>
      <c r="C36" s="11">
        <v>19</v>
      </c>
      <c r="D36" s="13">
        <v>0</v>
      </c>
      <c r="E36" s="13">
        <v>21</v>
      </c>
      <c r="F36" s="13">
        <v>0</v>
      </c>
      <c r="G36" s="12">
        <f t="shared" si="0"/>
        <v>120</v>
      </c>
      <c r="H36" s="13" t="s">
        <v>225</v>
      </c>
      <c r="I36" s="11" t="s">
        <v>209</v>
      </c>
      <c r="J36" s="13" t="s">
        <v>210</v>
      </c>
      <c r="K36" s="13" t="s">
        <v>226</v>
      </c>
      <c r="N36" s="11" t="s">
        <v>189</v>
      </c>
      <c r="P36" s="16" t="s">
        <v>271</v>
      </c>
      <c r="Q36" s="14" t="s">
        <v>272</v>
      </c>
    </row>
    <row r="37" spans="1:17" x14ac:dyDescent="0.2">
      <c r="C37" s="11">
        <v>22</v>
      </c>
      <c r="D37" s="13">
        <v>30</v>
      </c>
      <c r="E37" s="13">
        <v>23</v>
      </c>
      <c r="F37" s="13">
        <v>30</v>
      </c>
      <c r="G37" s="12">
        <f t="shared" si="0"/>
        <v>60</v>
      </c>
      <c r="H37" s="13" t="s">
        <v>225</v>
      </c>
      <c r="I37" s="11" t="s">
        <v>209</v>
      </c>
      <c r="J37" s="13" t="s">
        <v>210</v>
      </c>
      <c r="K37" s="13" t="s">
        <v>226</v>
      </c>
      <c r="N37" s="11" t="s">
        <v>189</v>
      </c>
      <c r="P37" s="16" t="s">
        <v>271</v>
      </c>
      <c r="Q37" s="14" t="s">
        <v>273</v>
      </c>
    </row>
    <row r="38" spans="1:17" x14ac:dyDescent="0.2">
      <c r="A38" s="10">
        <v>45999</v>
      </c>
      <c r="B38" s="11" t="s">
        <v>234</v>
      </c>
      <c r="C38" s="11">
        <v>8</v>
      </c>
      <c r="D38" s="13">
        <v>30</v>
      </c>
      <c r="E38" s="13">
        <v>9</v>
      </c>
      <c r="F38" s="13">
        <v>45</v>
      </c>
      <c r="G38" s="12">
        <f t="shared" si="0"/>
        <v>75</v>
      </c>
      <c r="H38" s="13" t="s">
        <v>208</v>
      </c>
      <c r="I38" s="11" t="s">
        <v>204</v>
      </c>
      <c r="J38" s="13" t="s">
        <v>274</v>
      </c>
      <c r="K38" s="13" t="s">
        <v>275</v>
      </c>
      <c r="N38" s="11" t="s">
        <v>189</v>
      </c>
      <c r="O38" s="13" t="s">
        <v>212</v>
      </c>
      <c r="P38" s="14" t="s">
        <v>276</v>
      </c>
      <c r="Q38" s="14" t="s">
        <v>277</v>
      </c>
    </row>
    <row r="39" spans="1:17" x14ac:dyDescent="0.2">
      <c r="B39" s="11" t="s">
        <v>234</v>
      </c>
      <c r="C39" s="11">
        <v>10</v>
      </c>
      <c r="D39" s="13">
        <v>35</v>
      </c>
      <c r="E39" s="13">
        <v>11</v>
      </c>
      <c r="F39" s="13">
        <v>50</v>
      </c>
      <c r="G39" s="12">
        <f t="shared" ref="G39:G102" si="1">E39*60+F39-C39*60-D39</f>
        <v>75</v>
      </c>
      <c r="H39" s="13" t="s">
        <v>229</v>
      </c>
      <c r="I39" s="11" t="s">
        <v>204</v>
      </c>
      <c r="J39" s="13" t="s">
        <v>274</v>
      </c>
      <c r="K39" s="13" t="s">
        <v>278</v>
      </c>
      <c r="N39" s="11" t="s">
        <v>179</v>
      </c>
      <c r="O39" s="13" t="s">
        <v>188</v>
      </c>
      <c r="Q39" s="14" t="s">
        <v>279</v>
      </c>
    </row>
    <row r="40" spans="1:17" x14ac:dyDescent="0.2">
      <c r="B40" s="11" t="s">
        <v>234</v>
      </c>
      <c r="C40" s="11">
        <v>12</v>
      </c>
      <c r="D40" s="13">
        <v>40</v>
      </c>
      <c r="E40" s="13">
        <v>13</v>
      </c>
      <c r="F40" s="13">
        <v>55</v>
      </c>
      <c r="G40" s="12">
        <f t="shared" si="1"/>
        <v>75</v>
      </c>
      <c r="H40" s="13" t="s">
        <v>225</v>
      </c>
      <c r="I40" s="11" t="s">
        <v>204</v>
      </c>
      <c r="J40" s="13" t="s">
        <v>274</v>
      </c>
      <c r="K40" s="13" t="s">
        <v>226</v>
      </c>
      <c r="N40" s="11" t="s">
        <v>189</v>
      </c>
      <c r="Q40" s="14" t="s">
        <v>280</v>
      </c>
    </row>
    <row r="41" spans="1:17" x14ac:dyDescent="0.2">
      <c r="B41" s="11" t="s">
        <v>234</v>
      </c>
      <c r="C41" s="11">
        <v>19</v>
      </c>
      <c r="D41" s="13">
        <v>30</v>
      </c>
      <c r="E41" s="13">
        <v>21</v>
      </c>
      <c r="F41" s="13">
        <v>30</v>
      </c>
      <c r="G41" s="12">
        <f t="shared" si="1"/>
        <v>120</v>
      </c>
      <c r="H41" s="13" t="s">
        <v>237</v>
      </c>
      <c r="I41" s="11" t="s">
        <v>183</v>
      </c>
      <c r="K41" s="13" t="s">
        <v>284</v>
      </c>
      <c r="L41" s="11" t="s">
        <v>286</v>
      </c>
      <c r="N41" s="11" t="s">
        <v>189</v>
      </c>
      <c r="O41" s="13" t="s">
        <v>266</v>
      </c>
      <c r="Q41" s="14" t="s">
        <v>288</v>
      </c>
    </row>
    <row r="42" spans="1:17" x14ac:dyDescent="0.2">
      <c r="B42" s="11" t="s">
        <v>234</v>
      </c>
      <c r="C42" s="11">
        <v>22</v>
      </c>
      <c r="D42" s="13">
        <v>30</v>
      </c>
      <c r="E42" s="13">
        <v>23</v>
      </c>
      <c r="F42" s="13">
        <v>30</v>
      </c>
      <c r="G42" s="12">
        <f t="shared" si="1"/>
        <v>60</v>
      </c>
      <c r="H42" s="13" t="s">
        <v>237</v>
      </c>
      <c r="I42" s="11" t="s">
        <v>204</v>
      </c>
      <c r="K42" s="13" t="s">
        <v>284</v>
      </c>
      <c r="L42" s="11" t="s">
        <v>287</v>
      </c>
      <c r="N42" s="11" t="s">
        <v>179</v>
      </c>
      <c r="O42" s="13" t="s">
        <v>180</v>
      </c>
      <c r="Q42" s="14" t="s">
        <v>289</v>
      </c>
    </row>
    <row r="43" spans="1:17" x14ac:dyDescent="0.2">
      <c r="C43" s="11">
        <v>23</v>
      </c>
      <c r="D43" s="13">
        <v>30</v>
      </c>
      <c r="E43" s="13">
        <v>23</v>
      </c>
      <c r="F43" s="13">
        <v>55</v>
      </c>
      <c r="G43" s="12">
        <f t="shared" si="1"/>
        <v>25</v>
      </c>
      <c r="H43" s="13" t="s">
        <v>229</v>
      </c>
      <c r="I43" s="11" t="s">
        <v>204</v>
      </c>
      <c r="J43" s="13" t="s">
        <v>231</v>
      </c>
      <c r="K43" s="13" t="s">
        <v>291</v>
      </c>
      <c r="N43" s="11" t="s">
        <v>179</v>
      </c>
      <c r="O43" s="13" t="s">
        <v>188</v>
      </c>
      <c r="Q43" s="14" t="s">
        <v>292</v>
      </c>
    </row>
    <row r="44" spans="1:17" x14ac:dyDescent="0.2">
      <c r="A44" s="10">
        <v>46000</v>
      </c>
      <c r="B44" s="11" t="s">
        <v>241</v>
      </c>
      <c r="C44" s="11">
        <v>8</v>
      </c>
      <c r="D44" s="13">
        <v>30</v>
      </c>
      <c r="E44" s="13">
        <v>9</v>
      </c>
      <c r="F44" s="13">
        <v>45</v>
      </c>
      <c r="G44" s="12">
        <f t="shared" si="1"/>
        <v>75</v>
      </c>
      <c r="H44" s="13" t="s">
        <v>237</v>
      </c>
      <c r="I44" s="11" t="s">
        <v>204</v>
      </c>
      <c r="J44" s="13" t="s">
        <v>274</v>
      </c>
      <c r="K44" s="13" t="s">
        <v>284</v>
      </c>
      <c r="L44" s="11" t="s">
        <v>293</v>
      </c>
      <c r="N44" s="11" t="s">
        <v>179</v>
      </c>
      <c r="O44" s="13" t="s">
        <v>188</v>
      </c>
      <c r="Q44" s="14" t="s">
        <v>294</v>
      </c>
    </row>
    <row r="45" spans="1:17" x14ac:dyDescent="0.2">
      <c r="C45" s="11">
        <v>10</v>
      </c>
      <c r="D45" s="13">
        <v>35</v>
      </c>
      <c r="E45" s="13">
        <v>11</v>
      </c>
      <c r="F45" s="13">
        <v>50</v>
      </c>
      <c r="G45" s="12">
        <f t="shared" si="1"/>
        <v>75</v>
      </c>
      <c r="H45" s="13" t="s">
        <v>295</v>
      </c>
      <c r="I45" s="11" t="s">
        <v>204</v>
      </c>
      <c r="J45" s="13" t="s">
        <v>274</v>
      </c>
      <c r="K45" s="13" t="s">
        <v>297</v>
      </c>
      <c r="N45" s="11" t="s">
        <v>179</v>
      </c>
      <c r="O45" s="13" t="s">
        <v>180</v>
      </c>
      <c r="P45" s="16" t="s">
        <v>299</v>
      </c>
      <c r="Q45" s="14" t="s">
        <v>298</v>
      </c>
    </row>
    <row r="46" spans="1:17" x14ac:dyDescent="0.2">
      <c r="C46" s="11">
        <v>14</v>
      </c>
      <c r="D46" s="13">
        <v>5</v>
      </c>
      <c r="E46" s="13">
        <v>15</v>
      </c>
      <c r="F46" s="13">
        <v>20</v>
      </c>
      <c r="G46" s="12">
        <f t="shared" si="1"/>
        <v>75</v>
      </c>
      <c r="H46" s="13" t="s">
        <v>182</v>
      </c>
      <c r="I46" s="11" t="s">
        <v>204</v>
      </c>
      <c r="J46" s="13" t="s">
        <v>274</v>
      </c>
      <c r="K46" s="13" t="s">
        <v>257</v>
      </c>
      <c r="L46" s="11" t="s">
        <v>300</v>
      </c>
      <c r="N46" s="11" t="s">
        <v>179</v>
      </c>
      <c r="O46" s="13" t="s">
        <v>206</v>
      </c>
      <c r="Q46" s="14" t="s">
        <v>301</v>
      </c>
    </row>
    <row r="47" spans="1:17" x14ac:dyDescent="0.2">
      <c r="C47" s="11">
        <v>19</v>
      </c>
      <c r="D47" s="13">
        <v>30</v>
      </c>
      <c r="E47" s="13">
        <v>20</v>
      </c>
      <c r="F47" s="13">
        <v>30</v>
      </c>
      <c r="G47" s="12">
        <f t="shared" si="1"/>
        <v>60</v>
      </c>
      <c r="H47" s="13" t="s">
        <v>182</v>
      </c>
      <c r="I47" s="11" t="s">
        <v>183</v>
      </c>
      <c r="J47" s="13" t="s">
        <v>184</v>
      </c>
      <c r="K47" s="11" t="s">
        <v>247</v>
      </c>
      <c r="L47" s="11" t="s">
        <v>302</v>
      </c>
      <c r="N47" s="11" t="s">
        <v>179</v>
      </c>
      <c r="O47" s="13" t="s">
        <v>188</v>
      </c>
      <c r="Q47" s="14" t="s">
        <v>303</v>
      </c>
    </row>
    <row r="48" spans="1:17" x14ac:dyDescent="0.2">
      <c r="C48" s="11">
        <v>21</v>
      </c>
      <c r="D48" s="13">
        <v>30</v>
      </c>
      <c r="E48" s="13">
        <v>23</v>
      </c>
      <c r="F48" s="13">
        <v>0</v>
      </c>
      <c r="G48" s="12">
        <f t="shared" si="1"/>
        <v>90</v>
      </c>
      <c r="H48" s="13" t="s">
        <v>182</v>
      </c>
      <c r="I48" s="11" t="s">
        <v>183</v>
      </c>
      <c r="J48" s="13" t="s">
        <v>184</v>
      </c>
      <c r="L48" s="18"/>
      <c r="N48" s="11" t="s">
        <v>179</v>
      </c>
      <c r="O48" s="13" t="s">
        <v>188</v>
      </c>
      <c r="Q48" s="14" t="s">
        <v>304</v>
      </c>
    </row>
    <row r="49" spans="1:17" x14ac:dyDescent="0.2">
      <c r="C49" s="11">
        <v>23</v>
      </c>
      <c r="D49" s="13">
        <v>0</v>
      </c>
      <c r="E49" s="13">
        <v>23</v>
      </c>
      <c r="F49" s="13">
        <v>20</v>
      </c>
      <c r="G49" s="12">
        <f t="shared" si="1"/>
        <v>20</v>
      </c>
      <c r="H49" s="13" t="s">
        <v>229</v>
      </c>
      <c r="I49" s="11" t="s">
        <v>209</v>
      </c>
      <c r="J49" s="13" t="s">
        <v>210</v>
      </c>
      <c r="K49" s="13" t="s">
        <v>291</v>
      </c>
      <c r="N49" s="11" t="s">
        <v>189</v>
      </c>
      <c r="Q49" s="14" t="s">
        <v>305</v>
      </c>
    </row>
    <row r="50" spans="1:17" x14ac:dyDescent="0.2">
      <c r="C50" s="11">
        <v>23</v>
      </c>
      <c r="D50" s="13">
        <v>25</v>
      </c>
      <c r="E50" s="13">
        <v>23</v>
      </c>
      <c r="F50" s="13">
        <v>55</v>
      </c>
      <c r="G50" s="12">
        <f t="shared" si="1"/>
        <v>30</v>
      </c>
      <c r="H50" s="13" t="s">
        <v>229</v>
      </c>
      <c r="I50" s="11" t="s">
        <v>209</v>
      </c>
      <c r="J50" s="13" t="s">
        <v>210</v>
      </c>
      <c r="K50" s="13" t="s">
        <v>291</v>
      </c>
      <c r="N50" s="11" t="s">
        <v>179</v>
      </c>
      <c r="O50" s="13" t="s">
        <v>188</v>
      </c>
      <c r="Q50" s="14" t="s">
        <v>306</v>
      </c>
    </row>
    <row r="51" spans="1:17" x14ac:dyDescent="0.2">
      <c r="A51" s="10">
        <v>46001</v>
      </c>
      <c r="B51" s="11" t="s">
        <v>200</v>
      </c>
      <c r="C51" s="11">
        <v>8</v>
      </c>
      <c r="D51" s="13">
        <v>30</v>
      </c>
      <c r="E51" s="13">
        <v>9</v>
      </c>
      <c r="F51" s="13">
        <v>45</v>
      </c>
      <c r="G51" s="12">
        <f t="shared" si="1"/>
        <v>75</v>
      </c>
      <c r="H51" s="13" t="s">
        <v>225</v>
      </c>
      <c r="I51" s="11" t="s">
        <v>204</v>
      </c>
      <c r="J51" s="13" t="s">
        <v>274</v>
      </c>
      <c r="K51" s="13" t="s">
        <v>226</v>
      </c>
      <c r="N51" s="11" t="s">
        <v>179</v>
      </c>
      <c r="O51" s="13" t="s">
        <v>188</v>
      </c>
      <c r="Q51" s="14" t="s">
        <v>307</v>
      </c>
    </row>
    <row r="52" spans="1:17" x14ac:dyDescent="0.2">
      <c r="C52" s="11">
        <v>10</v>
      </c>
      <c r="D52" s="13">
        <v>35</v>
      </c>
      <c r="E52" s="13">
        <v>11</v>
      </c>
      <c r="F52" s="13">
        <v>50</v>
      </c>
      <c r="G52" s="12">
        <f t="shared" si="1"/>
        <v>75</v>
      </c>
      <c r="H52" s="13" t="s">
        <v>208</v>
      </c>
      <c r="I52" s="11" t="s">
        <v>204</v>
      </c>
      <c r="J52" s="13" t="s">
        <v>274</v>
      </c>
      <c r="K52" s="13" t="s">
        <v>275</v>
      </c>
      <c r="N52" s="11" t="s">
        <v>179</v>
      </c>
      <c r="O52" s="13" t="s">
        <v>188</v>
      </c>
      <c r="Q52" s="14" t="s">
        <v>308</v>
      </c>
    </row>
    <row r="53" spans="1:17" x14ac:dyDescent="0.2">
      <c r="C53" s="11">
        <v>21</v>
      </c>
      <c r="D53" s="13">
        <v>0</v>
      </c>
      <c r="E53" s="13">
        <v>22</v>
      </c>
      <c r="F53" s="13">
        <v>30</v>
      </c>
      <c r="G53" s="12">
        <f t="shared" si="1"/>
        <v>90</v>
      </c>
      <c r="H53" s="13" t="s">
        <v>237</v>
      </c>
      <c r="I53" s="11" t="s">
        <v>209</v>
      </c>
      <c r="J53" s="13" t="s">
        <v>210</v>
      </c>
      <c r="K53" s="13" t="s">
        <v>284</v>
      </c>
      <c r="L53" s="11" t="s">
        <v>285</v>
      </c>
      <c r="N53" s="11" t="s">
        <v>179</v>
      </c>
      <c r="O53" s="13" t="s">
        <v>180</v>
      </c>
      <c r="P53" s="14" t="s">
        <v>310</v>
      </c>
      <c r="Q53" s="14" t="s">
        <v>309</v>
      </c>
    </row>
    <row r="54" spans="1:17" x14ac:dyDescent="0.2">
      <c r="C54" s="11">
        <v>22</v>
      </c>
      <c r="D54" s="13">
        <v>45</v>
      </c>
      <c r="E54" s="13">
        <v>23</v>
      </c>
      <c r="F54" s="13">
        <v>30</v>
      </c>
      <c r="G54" s="12">
        <f t="shared" si="1"/>
        <v>45</v>
      </c>
      <c r="H54" s="13" t="s">
        <v>295</v>
      </c>
      <c r="I54" s="11" t="s">
        <v>209</v>
      </c>
      <c r="J54" s="13" t="s">
        <v>210</v>
      </c>
      <c r="K54" s="13" t="s">
        <v>297</v>
      </c>
      <c r="N54" s="11" t="s">
        <v>189</v>
      </c>
      <c r="Q54" s="14" t="s">
        <v>311</v>
      </c>
    </row>
    <row r="55" spans="1:17" x14ac:dyDescent="0.2">
      <c r="C55" s="11">
        <v>23</v>
      </c>
      <c r="D55" s="13">
        <v>30</v>
      </c>
      <c r="E55" s="13">
        <v>23</v>
      </c>
      <c r="F55" s="13">
        <v>55</v>
      </c>
      <c r="G55" s="12">
        <f t="shared" si="1"/>
        <v>25</v>
      </c>
      <c r="H55" s="13" t="s">
        <v>182</v>
      </c>
      <c r="I55" s="11" t="s">
        <v>183</v>
      </c>
      <c r="J55" s="13" t="s">
        <v>184</v>
      </c>
      <c r="K55" s="13" t="s">
        <v>201</v>
      </c>
      <c r="N55" s="11" t="s">
        <v>179</v>
      </c>
      <c r="O55" s="13" t="s">
        <v>188</v>
      </c>
    </row>
    <row r="56" spans="1:17" x14ac:dyDescent="0.2">
      <c r="A56" s="10">
        <v>46002</v>
      </c>
      <c r="B56" s="11" t="s">
        <v>214</v>
      </c>
      <c r="C56" s="11">
        <v>0</v>
      </c>
      <c r="D56" s="13">
        <v>0</v>
      </c>
      <c r="E56" s="13">
        <v>0</v>
      </c>
      <c r="F56" s="13">
        <v>30</v>
      </c>
      <c r="G56" s="12">
        <f t="shared" si="1"/>
        <v>30</v>
      </c>
      <c r="H56" s="13" t="s">
        <v>182</v>
      </c>
      <c r="I56" s="11" t="s">
        <v>183</v>
      </c>
      <c r="J56" s="13" t="s">
        <v>184</v>
      </c>
      <c r="K56" s="13" t="s">
        <v>201</v>
      </c>
      <c r="N56" s="11" t="s">
        <v>179</v>
      </c>
      <c r="O56" s="13" t="s">
        <v>188</v>
      </c>
      <c r="Q56" s="14" t="s">
        <v>312</v>
      </c>
    </row>
    <row r="57" spans="1:17" x14ac:dyDescent="0.2">
      <c r="C57" s="11">
        <v>0</v>
      </c>
      <c r="D57" s="13">
        <v>40</v>
      </c>
      <c r="E57" s="13">
        <v>1</v>
      </c>
      <c r="F57" s="13">
        <v>30</v>
      </c>
      <c r="G57" s="12">
        <f t="shared" si="1"/>
        <v>50</v>
      </c>
      <c r="H57" s="13" t="s">
        <v>229</v>
      </c>
      <c r="I57" s="11" t="s">
        <v>209</v>
      </c>
      <c r="J57" s="13" t="s">
        <v>210</v>
      </c>
      <c r="K57" s="13" t="s">
        <v>291</v>
      </c>
      <c r="N57" s="11" t="s">
        <v>179</v>
      </c>
      <c r="O57" s="13" t="s">
        <v>188</v>
      </c>
      <c r="Q57" s="14" t="s">
        <v>313</v>
      </c>
    </row>
    <row r="58" spans="1:17" x14ac:dyDescent="0.2">
      <c r="C58" s="11">
        <v>10</v>
      </c>
      <c r="D58" s="13">
        <v>35</v>
      </c>
      <c r="E58" s="13">
        <v>11</v>
      </c>
      <c r="F58" s="13">
        <v>50</v>
      </c>
      <c r="G58" s="12">
        <f t="shared" si="1"/>
        <v>75</v>
      </c>
      <c r="H58" s="13" t="s">
        <v>229</v>
      </c>
      <c r="I58" s="11" t="s">
        <v>204</v>
      </c>
      <c r="J58" s="13" t="s">
        <v>274</v>
      </c>
      <c r="K58" s="13" t="s">
        <v>291</v>
      </c>
      <c r="N58" s="11" t="s">
        <v>179</v>
      </c>
      <c r="O58" s="13" t="s">
        <v>188</v>
      </c>
      <c r="Q58" s="14" t="s">
        <v>314</v>
      </c>
    </row>
    <row r="59" spans="1:17" x14ac:dyDescent="0.2">
      <c r="C59" s="11">
        <v>12</v>
      </c>
      <c r="D59" s="13">
        <v>40</v>
      </c>
      <c r="E59" s="13">
        <v>13</v>
      </c>
      <c r="F59" s="13">
        <v>55</v>
      </c>
      <c r="G59" s="12">
        <f t="shared" si="1"/>
        <v>75</v>
      </c>
      <c r="H59" s="13" t="s">
        <v>237</v>
      </c>
      <c r="I59" s="11" t="s">
        <v>204</v>
      </c>
      <c r="J59" s="13" t="s">
        <v>274</v>
      </c>
      <c r="K59" s="13" t="s">
        <v>284</v>
      </c>
      <c r="L59" s="11" t="s">
        <v>286</v>
      </c>
      <c r="N59" s="11" t="s">
        <v>179</v>
      </c>
      <c r="O59" s="13" t="s">
        <v>188</v>
      </c>
      <c r="Q59" s="14" t="s">
        <v>315</v>
      </c>
    </row>
    <row r="60" spans="1:17" x14ac:dyDescent="0.2">
      <c r="C60" s="11">
        <v>14</v>
      </c>
      <c r="D60" s="13">
        <v>5</v>
      </c>
      <c r="E60" s="13">
        <v>15</v>
      </c>
      <c r="F60" s="13">
        <v>20</v>
      </c>
      <c r="G60" s="12">
        <f t="shared" si="1"/>
        <v>75</v>
      </c>
      <c r="H60" s="13" t="s">
        <v>295</v>
      </c>
      <c r="I60" s="19" t="s">
        <v>204</v>
      </c>
      <c r="J60" s="20" t="s">
        <v>274</v>
      </c>
      <c r="K60" s="13" t="s">
        <v>297</v>
      </c>
      <c r="N60" s="11" t="s">
        <v>179</v>
      </c>
      <c r="O60" s="13" t="s">
        <v>188</v>
      </c>
      <c r="Q60" s="14" t="s">
        <v>316</v>
      </c>
    </row>
    <row r="61" spans="1:17" x14ac:dyDescent="0.2">
      <c r="C61" s="11">
        <v>19</v>
      </c>
      <c r="D61" s="13">
        <v>0</v>
      </c>
      <c r="E61" s="13">
        <v>20</v>
      </c>
      <c r="F61" s="13">
        <v>30</v>
      </c>
      <c r="G61" s="12">
        <f t="shared" si="1"/>
        <v>90</v>
      </c>
      <c r="H61" s="13" t="s">
        <v>182</v>
      </c>
      <c r="I61" s="11" t="s">
        <v>183</v>
      </c>
      <c r="J61" s="13" t="s">
        <v>205</v>
      </c>
      <c r="K61" s="13" t="s">
        <v>201</v>
      </c>
      <c r="N61" s="11" t="s">
        <v>179</v>
      </c>
      <c r="O61" s="13" t="s">
        <v>188</v>
      </c>
      <c r="Q61" s="14" t="s">
        <v>317</v>
      </c>
    </row>
    <row r="62" spans="1:17" x14ac:dyDescent="0.2">
      <c r="C62" s="11">
        <v>21</v>
      </c>
      <c r="D62" s="13">
        <v>0</v>
      </c>
      <c r="E62" s="13">
        <v>22</v>
      </c>
      <c r="F62" s="13">
        <v>0</v>
      </c>
      <c r="G62" s="12">
        <f t="shared" si="1"/>
        <v>60</v>
      </c>
      <c r="H62" s="13" t="s">
        <v>225</v>
      </c>
      <c r="I62" s="11" t="s">
        <v>204</v>
      </c>
      <c r="J62" s="13" t="s">
        <v>231</v>
      </c>
      <c r="K62" s="13" t="s">
        <v>226</v>
      </c>
      <c r="N62" s="11" t="s">
        <v>179</v>
      </c>
      <c r="O62" s="13" t="s">
        <v>188</v>
      </c>
      <c r="Q62" s="14" t="s">
        <v>318</v>
      </c>
    </row>
    <row r="63" spans="1:17" x14ac:dyDescent="0.2">
      <c r="C63" s="11">
        <v>22</v>
      </c>
      <c r="D63" s="13">
        <v>30</v>
      </c>
      <c r="E63" s="13">
        <v>23</v>
      </c>
      <c r="F63" s="13">
        <v>0</v>
      </c>
      <c r="G63" s="12">
        <f t="shared" si="1"/>
        <v>30</v>
      </c>
      <c r="H63" s="13" t="s">
        <v>229</v>
      </c>
      <c r="I63" s="11" t="s">
        <v>209</v>
      </c>
      <c r="J63" s="13" t="s">
        <v>210</v>
      </c>
      <c r="K63" s="13" t="s">
        <v>291</v>
      </c>
      <c r="N63" s="11" t="s">
        <v>179</v>
      </c>
      <c r="O63" s="13" t="s">
        <v>188</v>
      </c>
    </row>
    <row r="64" spans="1:17" x14ac:dyDescent="0.2">
      <c r="A64" s="10">
        <v>46003</v>
      </c>
      <c r="B64" s="11" t="s">
        <v>222</v>
      </c>
      <c r="C64" s="11">
        <v>9</v>
      </c>
      <c r="D64" s="11">
        <v>45</v>
      </c>
      <c r="E64" s="13">
        <v>10</v>
      </c>
      <c r="F64" s="13">
        <v>50</v>
      </c>
      <c r="G64" s="12">
        <f t="shared" si="1"/>
        <v>65</v>
      </c>
      <c r="H64" s="13" t="s">
        <v>182</v>
      </c>
      <c r="I64" s="11" t="s">
        <v>204</v>
      </c>
      <c r="J64" s="13" t="s">
        <v>274</v>
      </c>
      <c r="K64" s="13" t="s">
        <v>257</v>
      </c>
      <c r="N64" s="13" t="s">
        <v>179</v>
      </c>
      <c r="O64" s="13" t="s">
        <v>188</v>
      </c>
      <c r="Q64" s="14" t="s">
        <v>319</v>
      </c>
    </row>
    <row r="65" spans="2:17" x14ac:dyDescent="0.2">
      <c r="C65" s="11">
        <v>11</v>
      </c>
      <c r="D65" s="13">
        <v>50</v>
      </c>
      <c r="E65" s="13">
        <v>12</v>
      </c>
      <c r="F65" s="13">
        <v>55</v>
      </c>
      <c r="G65" s="12">
        <f t="shared" si="1"/>
        <v>65</v>
      </c>
      <c r="H65" s="13" t="s">
        <v>208</v>
      </c>
      <c r="I65" s="11" t="s">
        <v>204</v>
      </c>
      <c r="J65" s="13" t="s">
        <v>274</v>
      </c>
      <c r="K65" s="13" t="s">
        <v>275</v>
      </c>
      <c r="N65" s="11" t="s">
        <v>179</v>
      </c>
      <c r="O65" s="13" t="s">
        <v>180</v>
      </c>
      <c r="Q65" s="14" t="s">
        <v>320</v>
      </c>
    </row>
    <row r="66" spans="2:17" x14ac:dyDescent="0.2">
      <c r="C66" s="11">
        <v>13</v>
      </c>
      <c r="D66" s="13">
        <v>5</v>
      </c>
      <c r="E66" s="13">
        <v>14</v>
      </c>
      <c r="F66" s="13">
        <v>10</v>
      </c>
      <c r="G66" s="12">
        <f t="shared" si="1"/>
        <v>65</v>
      </c>
      <c r="H66" s="13" t="s">
        <v>225</v>
      </c>
      <c r="I66" s="11" t="s">
        <v>204</v>
      </c>
      <c r="J66" s="13" t="s">
        <v>274</v>
      </c>
      <c r="K66" s="13" t="s">
        <v>226</v>
      </c>
      <c r="N66" s="11" t="s">
        <v>179</v>
      </c>
      <c r="O66" s="13" t="s">
        <v>188</v>
      </c>
      <c r="Q66" s="14" t="s">
        <v>321</v>
      </c>
    </row>
    <row r="67" spans="2:17" x14ac:dyDescent="0.2">
      <c r="C67" s="11">
        <v>21</v>
      </c>
      <c r="D67" s="13">
        <v>30</v>
      </c>
      <c r="E67" s="13">
        <v>23</v>
      </c>
      <c r="F67" s="13">
        <v>0</v>
      </c>
      <c r="G67" s="12">
        <f t="shared" si="1"/>
        <v>90</v>
      </c>
      <c r="H67" s="13" t="s">
        <v>237</v>
      </c>
      <c r="I67" s="11" t="s">
        <v>183</v>
      </c>
      <c r="J67" s="13" t="s">
        <v>184</v>
      </c>
      <c r="K67" s="13" t="s">
        <v>284</v>
      </c>
      <c r="L67" s="11" t="s">
        <v>293</v>
      </c>
      <c r="N67" s="11" t="s">
        <v>179</v>
      </c>
      <c r="O67" s="13" t="s">
        <v>188</v>
      </c>
      <c r="Q67" s="14" t="s">
        <v>322</v>
      </c>
    </row>
    <row r="68" spans="2:17" x14ac:dyDescent="0.2">
      <c r="B68" s="11" t="s">
        <v>177</v>
      </c>
      <c r="C68" s="11">
        <v>22</v>
      </c>
      <c r="D68" s="13">
        <v>30</v>
      </c>
      <c r="E68" s="13">
        <v>23</v>
      </c>
      <c r="F68" s="13">
        <v>15</v>
      </c>
      <c r="G68" s="12">
        <f t="shared" si="1"/>
        <v>45</v>
      </c>
      <c r="H68" s="13" t="s">
        <v>237</v>
      </c>
      <c r="I68" s="11" t="s">
        <v>183</v>
      </c>
      <c r="J68" s="13" t="s">
        <v>215</v>
      </c>
      <c r="K68" s="13" t="s">
        <v>284</v>
      </c>
      <c r="L68" s="11" t="s">
        <v>287</v>
      </c>
      <c r="N68" s="11" t="s">
        <v>189</v>
      </c>
      <c r="Q68" s="14" t="s">
        <v>327</v>
      </c>
    </row>
    <row r="69" spans="2:17" x14ac:dyDescent="0.2">
      <c r="B69" s="11" t="s">
        <v>177</v>
      </c>
      <c r="C69" s="11">
        <v>23</v>
      </c>
      <c r="D69" s="13">
        <v>15</v>
      </c>
      <c r="E69" s="13">
        <v>23</v>
      </c>
      <c r="F69" s="13">
        <v>55</v>
      </c>
      <c r="G69" s="12">
        <f t="shared" si="1"/>
        <v>40</v>
      </c>
      <c r="H69" s="13" t="s">
        <v>295</v>
      </c>
      <c r="I69" s="11" t="s">
        <v>204</v>
      </c>
      <c r="J69" s="13" t="s">
        <v>215</v>
      </c>
      <c r="K69" s="13" t="s">
        <v>297</v>
      </c>
      <c r="N69" s="11" t="s">
        <v>179</v>
      </c>
      <c r="O69" s="13" t="s">
        <v>180</v>
      </c>
      <c r="Q69" s="14" t="s">
        <v>328</v>
      </c>
    </row>
    <row r="70" spans="2:17" x14ac:dyDescent="0.2">
      <c r="B70" s="11" t="s">
        <v>192</v>
      </c>
      <c r="C70" s="11">
        <v>14</v>
      </c>
      <c r="D70" s="13">
        <v>0</v>
      </c>
      <c r="E70" s="13">
        <v>16</v>
      </c>
      <c r="F70" s="13">
        <v>30</v>
      </c>
      <c r="G70" s="12">
        <f t="shared" si="1"/>
        <v>150</v>
      </c>
      <c r="H70" s="13" t="s">
        <v>182</v>
      </c>
      <c r="I70" s="11" t="s">
        <v>183</v>
      </c>
      <c r="J70" s="13" t="s">
        <v>324</v>
      </c>
      <c r="K70" s="13" t="s">
        <v>247</v>
      </c>
      <c r="L70" s="11" t="s">
        <v>323</v>
      </c>
      <c r="N70" s="11" t="s">
        <v>179</v>
      </c>
      <c r="O70" s="13" t="s">
        <v>180</v>
      </c>
      <c r="Q70" s="14" t="s">
        <v>329</v>
      </c>
    </row>
    <row r="71" spans="2:17" x14ac:dyDescent="0.2">
      <c r="C71" s="11">
        <v>19</v>
      </c>
      <c r="D71" s="13">
        <v>0</v>
      </c>
      <c r="E71" s="13">
        <v>21</v>
      </c>
      <c r="F71" s="13">
        <v>0</v>
      </c>
      <c r="G71" s="12">
        <f t="shared" si="1"/>
        <v>120</v>
      </c>
      <c r="H71" s="13" t="s">
        <v>295</v>
      </c>
      <c r="I71" s="11" t="s">
        <v>209</v>
      </c>
      <c r="J71" s="13" t="s">
        <v>210</v>
      </c>
      <c r="K71" s="13" t="s">
        <v>297</v>
      </c>
      <c r="N71" s="11" t="s">
        <v>189</v>
      </c>
      <c r="Q71" s="14" t="s">
        <v>325</v>
      </c>
    </row>
    <row r="72" spans="2:17" x14ac:dyDescent="0.2">
      <c r="C72" s="11">
        <v>21</v>
      </c>
      <c r="D72" s="13">
        <v>30</v>
      </c>
      <c r="E72" s="13">
        <v>22</v>
      </c>
      <c r="F72" s="13">
        <v>30</v>
      </c>
      <c r="G72" s="12">
        <f t="shared" si="1"/>
        <v>60</v>
      </c>
      <c r="H72" s="13" t="s">
        <v>208</v>
      </c>
      <c r="J72" s="13" t="s">
        <v>231</v>
      </c>
      <c r="K72" s="13" t="s">
        <v>275</v>
      </c>
      <c r="N72" s="11" t="s">
        <v>189</v>
      </c>
      <c r="Q72" s="14" t="s">
        <v>326</v>
      </c>
    </row>
    <row r="73" spans="2:17" x14ac:dyDescent="0.2">
      <c r="B73" s="11" t="s">
        <v>234</v>
      </c>
      <c r="C73" s="11">
        <v>8</v>
      </c>
      <c r="D73" s="13">
        <v>30</v>
      </c>
      <c r="E73" s="13">
        <v>9</v>
      </c>
      <c r="F73" s="13">
        <v>45</v>
      </c>
      <c r="G73" s="12">
        <f t="shared" si="1"/>
        <v>75</v>
      </c>
      <c r="H73" s="13" t="s">
        <v>295</v>
      </c>
      <c r="I73" s="11" t="s">
        <v>204</v>
      </c>
      <c r="J73" s="13" t="s">
        <v>274</v>
      </c>
      <c r="K73" s="13" t="s">
        <v>297</v>
      </c>
      <c r="N73" s="11" t="s">
        <v>189</v>
      </c>
      <c r="Q73" s="14" t="s">
        <v>330</v>
      </c>
    </row>
    <row r="74" spans="2:17" x14ac:dyDescent="0.2">
      <c r="C74" s="11">
        <v>12</v>
      </c>
      <c r="D74" s="13">
        <v>40</v>
      </c>
      <c r="E74" s="13">
        <v>13</v>
      </c>
      <c r="F74" s="13">
        <v>55</v>
      </c>
      <c r="G74" s="12">
        <f t="shared" si="1"/>
        <v>75</v>
      </c>
      <c r="H74" s="13" t="s">
        <v>182</v>
      </c>
      <c r="I74" s="11" t="s">
        <v>204</v>
      </c>
      <c r="J74" s="13" t="s">
        <v>274</v>
      </c>
      <c r="K74" s="13" t="s">
        <v>247</v>
      </c>
      <c r="N74" s="11" t="s">
        <v>179</v>
      </c>
      <c r="O74" s="13" t="s">
        <v>180</v>
      </c>
      <c r="Q74" s="14" t="s">
        <v>331</v>
      </c>
    </row>
    <row r="75" spans="2:17" x14ac:dyDescent="0.2">
      <c r="C75" s="11">
        <v>20</v>
      </c>
      <c r="D75" s="13">
        <v>0</v>
      </c>
      <c r="E75" s="13">
        <v>22</v>
      </c>
      <c r="F75" s="13">
        <v>30</v>
      </c>
      <c r="G75" s="12">
        <f t="shared" si="1"/>
        <v>150</v>
      </c>
      <c r="H75" s="13" t="s">
        <v>237</v>
      </c>
      <c r="I75" s="11" t="s">
        <v>183</v>
      </c>
      <c r="J75" s="13" t="s">
        <v>184</v>
      </c>
      <c r="K75" s="13" t="s">
        <v>284</v>
      </c>
      <c r="N75" s="11" t="s">
        <v>189</v>
      </c>
      <c r="O75" s="13" t="s">
        <v>266</v>
      </c>
      <c r="P75" s="16" t="s">
        <v>333</v>
      </c>
      <c r="Q75" s="14" t="s">
        <v>332</v>
      </c>
    </row>
    <row r="76" spans="2:17" x14ac:dyDescent="0.2">
      <c r="C76" s="11">
        <v>23</v>
      </c>
      <c r="D76" s="13">
        <v>0</v>
      </c>
      <c r="E76" s="13">
        <v>23</v>
      </c>
      <c r="F76" s="13">
        <v>45</v>
      </c>
      <c r="G76" s="12">
        <f t="shared" si="1"/>
        <v>45</v>
      </c>
      <c r="H76" s="13" t="s">
        <v>208</v>
      </c>
      <c r="J76" s="13" t="s">
        <v>231</v>
      </c>
      <c r="K76" s="13" t="s">
        <v>334</v>
      </c>
      <c r="N76" s="11" t="s">
        <v>189</v>
      </c>
      <c r="Q76" s="14" t="s">
        <v>335</v>
      </c>
    </row>
    <row r="77" spans="2:17" x14ac:dyDescent="0.2">
      <c r="B77" s="11" t="s">
        <v>241</v>
      </c>
      <c r="C77" s="11">
        <v>8</v>
      </c>
      <c r="D77" s="13">
        <v>30</v>
      </c>
      <c r="E77" s="13">
        <v>9</v>
      </c>
      <c r="F77" s="13">
        <v>45</v>
      </c>
      <c r="G77" s="12">
        <f t="shared" si="1"/>
        <v>75</v>
      </c>
      <c r="H77" s="13" t="s">
        <v>208</v>
      </c>
      <c r="I77" s="11" t="s">
        <v>204</v>
      </c>
      <c r="J77" s="13" t="s">
        <v>274</v>
      </c>
      <c r="K77" s="13" t="s">
        <v>334</v>
      </c>
      <c r="N77" s="11" t="s">
        <v>189</v>
      </c>
      <c r="Q77" s="14" t="s">
        <v>336</v>
      </c>
    </row>
    <row r="78" spans="2:17" x14ac:dyDescent="0.2">
      <c r="C78" s="11">
        <v>10</v>
      </c>
      <c r="D78" s="13">
        <v>35</v>
      </c>
      <c r="E78" s="13">
        <v>11</v>
      </c>
      <c r="F78" s="13">
        <v>50</v>
      </c>
      <c r="G78" s="12">
        <f t="shared" si="1"/>
        <v>75</v>
      </c>
      <c r="H78" s="13" t="s">
        <v>225</v>
      </c>
      <c r="I78" s="11" t="s">
        <v>204</v>
      </c>
      <c r="J78" s="13" t="s">
        <v>274</v>
      </c>
      <c r="K78" s="13" t="s">
        <v>226</v>
      </c>
      <c r="L78" s="11" t="s">
        <v>337</v>
      </c>
      <c r="N78" s="11" t="s">
        <v>179</v>
      </c>
      <c r="O78" s="13" t="s">
        <v>188</v>
      </c>
      <c r="Q78" s="14" t="s">
        <v>338</v>
      </c>
    </row>
    <row r="79" spans="2:17" x14ac:dyDescent="0.2">
      <c r="C79" s="11">
        <v>12</v>
      </c>
      <c r="D79" s="13">
        <v>40</v>
      </c>
      <c r="E79" s="13">
        <v>13</v>
      </c>
      <c r="F79" s="13">
        <v>55</v>
      </c>
      <c r="G79" s="12">
        <f t="shared" si="1"/>
        <v>75</v>
      </c>
      <c r="H79" s="13" t="s">
        <v>229</v>
      </c>
      <c r="I79" s="11" t="s">
        <v>204</v>
      </c>
      <c r="J79" s="13" t="s">
        <v>274</v>
      </c>
      <c r="K79" s="13" t="s">
        <v>339</v>
      </c>
      <c r="Q79" s="14" t="s">
        <v>340</v>
      </c>
    </row>
    <row r="80" spans="2:17" x14ac:dyDescent="0.2">
      <c r="C80" s="11">
        <v>14</v>
      </c>
      <c r="D80" s="13">
        <v>5</v>
      </c>
      <c r="E80" s="13">
        <v>15</v>
      </c>
      <c r="F80" s="13">
        <v>20</v>
      </c>
      <c r="G80" s="12">
        <f t="shared" si="1"/>
        <v>75</v>
      </c>
      <c r="H80" s="13" t="s">
        <v>237</v>
      </c>
      <c r="I80" s="11" t="s">
        <v>204</v>
      </c>
      <c r="J80" s="13" t="s">
        <v>274</v>
      </c>
      <c r="K80" s="13" t="s">
        <v>284</v>
      </c>
      <c r="N80" s="11" t="s">
        <v>189</v>
      </c>
      <c r="Q80" s="14" t="s">
        <v>344</v>
      </c>
    </row>
    <row r="81" spans="1:17" x14ac:dyDescent="0.2">
      <c r="C81" s="11">
        <v>20</v>
      </c>
      <c r="D81" s="13">
        <v>0</v>
      </c>
      <c r="E81" s="13">
        <v>20</v>
      </c>
      <c r="F81" s="13">
        <v>45</v>
      </c>
      <c r="G81" s="12">
        <f t="shared" si="1"/>
        <v>45</v>
      </c>
      <c r="H81" s="13" t="s">
        <v>229</v>
      </c>
      <c r="I81" s="11" t="s">
        <v>209</v>
      </c>
      <c r="J81" s="13" t="s">
        <v>210</v>
      </c>
      <c r="K81" s="13" t="s">
        <v>342</v>
      </c>
      <c r="N81" s="11" t="s">
        <v>189</v>
      </c>
      <c r="P81" s="14" t="s">
        <v>343</v>
      </c>
      <c r="Q81" s="14" t="s">
        <v>341</v>
      </c>
    </row>
    <row r="82" spans="1:17" x14ac:dyDescent="0.2">
      <c r="C82" s="11">
        <v>21</v>
      </c>
      <c r="D82" s="13">
        <v>0</v>
      </c>
      <c r="E82" s="13">
        <v>21</v>
      </c>
      <c r="F82" s="13">
        <v>45</v>
      </c>
      <c r="G82" s="12">
        <f t="shared" si="1"/>
        <v>45</v>
      </c>
      <c r="H82" s="13" t="s">
        <v>225</v>
      </c>
      <c r="I82" s="11" t="s">
        <v>209</v>
      </c>
      <c r="J82" s="13" t="s">
        <v>210</v>
      </c>
      <c r="K82" s="13" t="s">
        <v>226</v>
      </c>
      <c r="L82" s="11" t="s">
        <v>337</v>
      </c>
      <c r="N82" s="11" t="s">
        <v>179</v>
      </c>
      <c r="O82" s="13" t="s">
        <v>188</v>
      </c>
      <c r="Q82" s="14" t="s">
        <v>345</v>
      </c>
    </row>
    <row r="83" spans="1:17" x14ac:dyDescent="0.2">
      <c r="C83" s="11">
        <v>22</v>
      </c>
      <c r="D83" s="13">
        <v>15</v>
      </c>
      <c r="E83" s="13">
        <v>22</v>
      </c>
      <c r="F83" s="13">
        <v>45</v>
      </c>
      <c r="G83" s="12">
        <f t="shared" si="1"/>
        <v>30</v>
      </c>
      <c r="H83" s="13" t="s">
        <v>295</v>
      </c>
      <c r="I83" s="11" t="s">
        <v>209</v>
      </c>
      <c r="J83" s="13" t="s">
        <v>210</v>
      </c>
      <c r="K83" s="13" t="s">
        <v>297</v>
      </c>
      <c r="N83" s="11" t="s">
        <v>179</v>
      </c>
      <c r="O83" s="13" t="s">
        <v>188</v>
      </c>
      <c r="Q83" s="14" t="s">
        <v>346</v>
      </c>
    </row>
    <row r="84" spans="1:17" x14ac:dyDescent="0.2">
      <c r="A84" s="10">
        <v>46008</v>
      </c>
      <c r="B84" s="11" t="s">
        <v>200</v>
      </c>
      <c r="C84" s="11">
        <v>8</v>
      </c>
      <c r="D84" s="13">
        <v>30</v>
      </c>
      <c r="E84" s="13">
        <v>9</v>
      </c>
      <c r="F84" s="13">
        <v>45</v>
      </c>
      <c r="G84" s="12">
        <f t="shared" si="1"/>
        <v>75</v>
      </c>
      <c r="H84" s="13" t="s">
        <v>237</v>
      </c>
      <c r="I84" s="11" t="s">
        <v>204</v>
      </c>
      <c r="J84" s="13" t="s">
        <v>274</v>
      </c>
      <c r="N84" s="11" t="s">
        <v>179</v>
      </c>
      <c r="O84" s="13" t="s">
        <v>188</v>
      </c>
      <c r="Q84" s="14" t="s">
        <v>347</v>
      </c>
    </row>
    <row r="85" spans="1:17" x14ac:dyDescent="0.2">
      <c r="C85" s="11">
        <v>9</v>
      </c>
      <c r="D85" s="13">
        <v>55</v>
      </c>
      <c r="E85" s="13">
        <v>11</v>
      </c>
      <c r="F85" s="13">
        <v>10</v>
      </c>
      <c r="G85" s="12">
        <f t="shared" si="1"/>
        <v>75</v>
      </c>
      <c r="H85" s="13" t="s">
        <v>295</v>
      </c>
      <c r="I85" s="11" t="s">
        <v>204</v>
      </c>
      <c r="J85" s="13" t="s">
        <v>274</v>
      </c>
      <c r="K85" s="13" t="s">
        <v>297</v>
      </c>
      <c r="N85" s="11" t="s">
        <v>179</v>
      </c>
      <c r="O85" s="13" t="s">
        <v>188</v>
      </c>
      <c r="Q85" s="14" t="s">
        <v>348</v>
      </c>
    </row>
    <row r="86" spans="1:17" x14ac:dyDescent="0.2">
      <c r="C86" s="11">
        <v>20</v>
      </c>
      <c r="D86" s="13">
        <v>50</v>
      </c>
      <c r="E86" s="13">
        <v>21</v>
      </c>
      <c r="F86" s="13">
        <v>35</v>
      </c>
      <c r="G86" s="12">
        <f t="shared" si="1"/>
        <v>45</v>
      </c>
      <c r="H86" s="13" t="s">
        <v>295</v>
      </c>
      <c r="I86" s="11" t="s">
        <v>209</v>
      </c>
      <c r="J86" s="13" t="s">
        <v>210</v>
      </c>
      <c r="K86" s="13" t="s">
        <v>297</v>
      </c>
      <c r="N86" s="11" t="s">
        <v>189</v>
      </c>
      <c r="Q86" s="14" t="s">
        <v>349</v>
      </c>
    </row>
    <row r="87" spans="1:17" x14ac:dyDescent="0.2">
      <c r="C87" s="11">
        <v>21</v>
      </c>
      <c r="D87" s="13">
        <v>45</v>
      </c>
      <c r="E87" s="13">
        <v>22</v>
      </c>
      <c r="F87" s="13">
        <v>25</v>
      </c>
      <c r="G87" s="12">
        <f t="shared" si="1"/>
        <v>40</v>
      </c>
      <c r="H87" s="13" t="s">
        <v>229</v>
      </c>
      <c r="I87" s="11" t="s">
        <v>204</v>
      </c>
      <c r="J87" s="13" t="s">
        <v>274</v>
      </c>
      <c r="K87" s="13" t="s">
        <v>339</v>
      </c>
      <c r="N87" s="11" t="s">
        <v>189</v>
      </c>
      <c r="Q87" s="14" t="s">
        <v>350</v>
      </c>
    </row>
    <row r="88" spans="1:17" x14ac:dyDescent="0.2">
      <c r="G88" s="12">
        <f t="shared" si="1"/>
        <v>0</v>
      </c>
    </row>
    <row r="89" spans="1:17" x14ac:dyDescent="0.2">
      <c r="G89" s="12">
        <f t="shared" si="1"/>
        <v>0</v>
      </c>
      <c r="I89" s="11" t="s">
        <v>209</v>
      </c>
    </row>
    <row r="90" spans="1:17" x14ac:dyDescent="0.2">
      <c r="G90" s="12">
        <f t="shared" si="1"/>
        <v>0</v>
      </c>
    </row>
    <row r="91" spans="1:17" x14ac:dyDescent="0.2">
      <c r="G91" s="12">
        <f t="shared" si="1"/>
        <v>0</v>
      </c>
      <c r="I91" s="11" t="s">
        <v>209</v>
      </c>
    </row>
    <row r="92" spans="1:17" ht="13" customHeight="1" x14ac:dyDescent="0.2">
      <c r="A92" s="10">
        <v>46015</v>
      </c>
      <c r="B92" s="11" t="s">
        <v>200</v>
      </c>
      <c r="C92" s="11">
        <v>9</v>
      </c>
      <c r="D92" s="13">
        <v>0</v>
      </c>
      <c r="E92" s="13">
        <v>11</v>
      </c>
      <c r="F92" s="13">
        <v>0</v>
      </c>
      <c r="G92" s="12">
        <f t="shared" si="1"/>
        <v>120</v>
      </c>
      <c r="H92" s="13" t="s">
        <v>178</v>
      </c>
      <c r="I92" s="11" t="s">
        <v>204</v>
      </c>
      <c r="J92" s="13" t="s">
        <v>205</v>
      </c>
      <c r="N92" s="11" t="s">
        <v>179</v>
      </c>
      <c r="O92" s="13" t="s">
        <v>180</v>
      </c>
      <c r="P92" s="16"/>
      <c r="Q92" s="21" t="s">
        <v>351</v>
      </c>
    </row>
    <row r="93" spans="1:17" x14ac:dyDescent="0.2">
      <c r="C93" s="11">
        <v>13</v>
      </c>
      <c r="D93" s="13">
        <v>0</v>
      </c>
      <c r="E93" s="13">
        <v>16</v>
      </c>
      <c r="F93" s="13">
        <v>0</v>
      </c>
      <c r="G93" s="12">
        <f t="shared" si="1"/>
        <v>180</v>
      </c>
      <c r="H93" s="13" t="s">
        <v>182</v>
      </c>
      <c r="I93" s="11" t="s">
        <v>209</v>
      </c>
      <c r="J93" s="13" t="s">
        <v>215</v>
      </c>
      <c r="K93" s="13" t="s">
        <v>352</v>
      </c>
      <c r="N93" s="11" t="s">
        <v>189</v>
      </c>
      <c r="O93" s="13" t="s">
        <v>216</v>
      </c>
      <c r="Q93" s="14" t="s">
        <v>353</v>
      </c>
    </row>
    <row r="94" spans="1:17" x14ac:dyDescent="0.2">
      <c r="C94" s="11">
        <v>17</v>
      </c>
      <c r="D94" s="13">
        <v>0</v>
      </c>
      <c r="E94" s="13">
        <v>18</v>
      </c>
      <c r="F94" s="13">
        <v>30</v>
      </c>
      <c r="G94" s="12">
        <f t="shared" si="1"/>
        <v>90</v>
      </c>
      <c r="H94" s="13" t="s">
        <v>237</v>
      </c>
      <c r="I94" s="11" t="s">
        <v>209</v>
      </c>
      <c r="J94" s="13" t="s">
        <v>215</v>
      </c>
      <c r="K94" s="13" t="s">
        <v>354</v>
      </c>
      <c r="L94" s="11" t="s">
        <v>355</v>
      </c>
      <c r="N94" s="11" t="s">
        <v>189</v>
      </c>
      <c r="O94" s="13" t="s">
        <v>212</v>
      </c>
      <c r="Q94" s="14" t="s">
        <v>356</v>
      </c>
    </row>
    <row r="95" spans="1:17" ht="14" customHeight="1" x14ac:dyDescent="0.2">
      <c r="C95" s="11">
        <v>20</v>
      </c>
      <c r="D95" s="13">
        <v>0</v>
      </c>
      <c r="E95" s="13">
        <v>21</v>
      </c>
      <c r="F95" s="13">
        <v>30</v>
      </c>
      <c r="G95" s="12">
        <f t="shared" si="1"/>
        <v>90</v>
      </c>
      <c r="H95" s="13" t="s">
        <v>229</v>
      </c>
      <c r="I95" s="11" t="s">
        <v>204</v>
      </c>
      <c r="J95" s="13" t="s">
        <v>231</v>
      </c>
      <c r="K95" s="13" t="s">
        <v>357</v>
      </c>
      <c r="N95" s="11" t="s">
        <v>179</v>
      </c>
      <c r="O95" s="13" t="s">
        <v>188</v>
      </c>
      <c r="Q95" s="21" t="s">
        <v>358</v>
      </c>
    </row>
    <row r="96" spans="1:17" x14ac:dyDescent="0.2">
      <c r="A96" s="10">
        <v>46016</v>
      </c>
      <c r="B96" s="11" t="s">
        <v>214</v>
      </c>
      <c r="C96" s="11">
        <v>13</v>
      </c>
      <c r="D96" s="13">
        <v>0</v>
      </c>
      <c r="E96" s="13">
        <v>15</v>
      </c>
      <c r="F96" s="13">
        <v>0</v>
      </c>
      <c r="G96" s="12">
        <f t="shared" si="1"/>
        <v>120</v>
      </c>
      <c r="H96" s="13" t="s">
        <v>364</v>
      </c>
      <c r="I96" s="11" t="s">
        <v>204</v>
      </c>
      <c r="J96" s="13" t="s">
        <v>205</v>
      </c>
      <c r="K96" s="13" t="s">
        <v>362</v>
      </c>
      <c r="L96" s="11" t="s">
        <v>363</v>
      </c>
      <c r="N96" s="11" t="s">
        <v>179</v>
      </c>
      <c r="O96" s="13" t="s">
        <v>206</v>
      </c>
      <c r="Q96" s="14" t="s">
        <v>365</v>
      </c>
    </row>
    <row r="97" spans="1:17" ht="15" customHeight="1" x14ac:dyDescent="0.2">
      <c r="C97" s="11">
        <v>15</v>
      </c>
      <c r="D97" s="13">
        <v>40</v>
      </c>
      <c r="E97" s="13">
        <v>17</v>
      </c>
      <c r="F97" s="13">
        <v>0</v>
      </c>
      <c r="G97" s="12">
        <f t="shared" si="1"/>
        <v>80</v>
      </c>
      <c r="H97" s="13" t="s">
        <v>364</v>
      </c>
      <c r="I97" s="11" t="s">
        <v>204</v>
      </c>
      <c r="J97" s="13" t="s">
        <v>366</v>
      </c>
      <c r="K97" s="13" t="s">
        <v>362</v>
      </c>
      <c r="L97" s="11" t="s">
        <v>363</v>
      </c>
      <c r="N97" s="11" t="s">
        <v>179</v>
      </c>
      <c r="O97" s="13" t="s">
        <v>206</v>
      </c>
      <c r="Q97" s="21" t="s">
        <v>367</v>
      </c>
    </row>
    <row r="98" spans="1:17" x14ac:dyDescent="0.2">
      <c r="C98" s="11">
        <v>21</v>
      </c>
      <c r="D98" s="13">
        <v>0</v>
      </c>
      <c r="E98" s="13">
        <v>22</v>
      </c>
      <c r="F98" s="13">
        <v>0</v>
      </c>
      <c r="G98" s="12">
        <f t="shared" si="1"/>
        <v>60</v>
      </c>
      <c r="H98" s="13" t="s">
        <v>237</v>
      </c>
      <c r="I98" s="11" t="s">
        <v>183</v>
      </c>
      <c r="J98" s="13" t="s">
        <v>184</v>
      </c>
      <c r="K98" s="13" t="s">
        <v>354</v>
      </c>
      <c r="N98" s="11" t="s">
        <v>179</v>
      </c>
      <c r="O98" s="13" t="s">
        <v>188</v>
      </c>
      <c r="Q98" s="14" t="s">
        <v>368</v>
      </c>
    </row>
    <row r="99" spans="1:17" x14ac:dyDescent="0.2">
      <c r="A99" s="10">
        <v>46017</v>
      </c>
      <c r="B99" s="11" t="s">
        <v>222</v>
      </c>
      <c r="C99" s="11">
        <v>9</v>
      </c>
      <c r="D99" s="13">
        <v>0</v>
      </c>
      <c r="E99" s="13">
        <v>11</v>
      </c>
      <c r="F99" s="13">
        <v>0</v>
      </c>
      <c r="G99" s="12">
        <f t="shared" si="1"/>
        <v>120</v>
      </c>
      <c r="H99" s="13" t="s">
        <v>359</v>
      </c>
      <c r="I99" s="11" t="s">
        <v>204</v>
      </c>
      <c r="J99" s="13" t="s">
        <v>223</v>
      </c>
      <c r="K99" s="13" t="s">
        <v>369</v>
      </c>
      <c r="N99" s="11" t="s">
        <v>179</v>
      </c>
      <c r="O99" s="13" t="s">
        <v>188</v>
      </c>
      <c r="Q99" s="14" t="s">
        <v>370</v>
      </c>
    </row>
    <row r="100" spans="1:17" x14ac:dyDescent="0.2">
      <c r="C100" s="11">
        <v>15</v>
      </c>
      <c r="D100" s="13">
        <v>0</v>
      </c>
      <c r="E100" s="13">
        <v>19</v>
      </c>
      <c r="F100" s="13">
        <v>0</v>
      </c>
      <c r="G100" s="12">
        <f t="shared" si="1"/>
        <v>240</v>
      </c>
      <c r="H100" s="13" t="s">
        <v>182</v>
      </c>
      <c r="I100" s="11" t="s">
        <v>209</v>
      </c>
      <c r="J100" s="13" t="s">
        <v>215</v>
      </c>
      <c r="K100" s="13" t="s">
        <v>185</v>
      </c>
      <c r="N100" s="11" t="s">
        <v>189</v>
      </c>
      <c r="O100" s="13" t="s">
        <v>197</v>
      </c>
      <c r="P100" s="14" t="s">
        <v>372</v>
      </c>
      <c r="Q100" s="14" t="s">
        <v>371</v>
      </c>
    </row>
    <row r="101" spans="1:17" x14ac:dyDescent="0.2">
      <c r="A101" s="10">
        <v>46018</v>
      </c>
      <c r="B101" s="11" t="s">
        <v>177</v>
      </c>
      <c r="C101" s="11">
        <v>10</v>
      </c>
      <c r="D101" s="13">
        <v>0</v>
      </c>
      <c r="E101" s="13">
        <v>13</v>
      </c>
      <c r="F101" s="13">
        <v>0</v>
      </c>
      <c r="G101" s="12">
        <f t="shared" si="1"/>
        <v>180</v>
      </c>
      <c r="H101" s="13" t="s">
        <v>182</v>
      </c>
      <c r="I101" s="11" t="s">
        <v>209</v>
      </c>
      <c r="J101" s="13" t="s">
        <v>215</v>
      </c>
      <c r="K101" s="13" t="s">
        <v>185</v>
      </c>
      <c r="L101" s="11" t="s">
        <v>196</v>
      </c>
      <c r="N101" s="11" t="s">
        <v>189</v>
      </c>
      <c r="O101" s="13" t="s">
        <v>216</v>
      </c>
      <c r="Q101" s="14" t="s">
        <v>373</v>
      </c>
    </row>
    <row r="102" spans="1:17" x14ac:dyDescent="0.2">
      <c r="A102" s="10">
        <v>46020</v>
      </c>
      <c r="B102" s="11" t="s">
        <v>234</v>
      </c>
      <c r="C102" s="11">
        <v>9</v>
      </c>
      <c r="D102" s="13">
        <v>30</v>
      </c>
      <c r="E102" s="13">
        <v>11</v>
      </c>
      <c r="F102" s="13">
        <v>0</v>
      </c>
      <c r="G102" s="12">
        <f t="shared" si="1"/>
        <v>90</v>
      </c>
      <c r="H102" s="13" t="s">
        <v>374</v>
      </c>
      <c r="I102" s="11" t="s">
        <v>209</v>
      </c>
      <c r="J102" s="13" t="s">
        <v>215</v>
      </c>
      <c r="K102" s="13" t="s">
        <v>381</v>
      </c>
      <c r="N102" s="11" t="s">
        <v>179</v>
      </c>
      <c r="O102" s="13" t="s">
        <v>188</v>
      </c>
      <c r="Q102" s="14" t="s">
        <v>375</v>
      </c>
    </row>
    <row r="103" spans="1:17" x14ac:dyDescent="0.2">
      <c r="C103" s="11">
        <v>13</v>
      </c>
      <c r="D103" s="13">
        <v>0</v>
      </c>
      <c r="E103" s="13">
        <v>15</v>
      </c>
      <c r="F103" s="13">
        <v>30</v>
      </c>
      <c r="G103" s="12">
        <f>E103*60+F103-C103*60-D103</f>
        <v>150</v>
      </c>
      <c r="H103" s="13" t="s">
        <v>374</v>
      </c>
      <c r="I103" s="11" t="s">
        <v>209</v>
      </c>
      <c r="J103" s="13" t="s">
        <v>215</v>
      </c>
      <c r="K103" s="13" t="s">
        <v>381</v>
      </c>
      <c r="N103" s="11" t="s">
        <v>179</v>
      </c>
      <c r="O103" s="13" t="s">
        <v>188</v>
      </c>
      <c r="Q103" s="14" t="s">
        <v>376</v>
      </c>
    </row>
    <row r="104" spans="1:17" x14ac:dyDescent="0.2">
      <c r="C104" s="11">
        <v>16</v>
      </c>
      <c r="D104" s="13">
        <v>30</v>
      </c>
      <c r="E104" s="13">
        <v>17</v>
      </c>
      <c r="F104" s="13">
        <v>30</v>
      </c>
      <c r="G104" s="12">
        <f>E104*60+F104-C104*60-D104</f>
        <v>60</v>
      </c>
      <c r="H104" s="13" t="s">
        <v>182</v>
      </c>
      <c r="I104" s="11" t="s">
        <v>209</v>
      </c>
      <c r="J104" s="13" t="s">
        <v>215</v>
      </c>
      <c r="K104" s="13" t="s">
        <v>185</v>
      </c>
      <c r="L104" s="11" t="s">
        <v>196</v>
      </c>
      <c r="N104" s="11" t="s">
        <v>189</v>
      </c>
      <c r="O104" s="13" t="s">
        <v>190</v>
      </c>
      <c r="Q104" s="14" t="s">
        <v>377</v>
      </c>
    </row>
    <row r="105" spans="1:17" x14ac:dyDescent="0.2">
      <c r="A105" s="10">
        <v>46021</v>
      </c>
      <c r="B105" s="11" t="s">
        <v>241</v>
      </c>
      <c r="C105" s="11">
        <v>13</v>
      </c>
      <c r="D105" s="13">
        <v>30</v>
      </c>
      <c r="E105" s="13">
        <v>15</v>
      </c>
      <c r="F105" s="13">
        <v>0</v>
      </c>
      <c r="G105" s="12">
        <f>G106</f>
        <v>90</v>
      </c>
      <c r="H105" s="13" t="s">
        <v>182</v>
      </c>
      <c r="I105" s="11" t="s">
        <v>204</v>
      </c>
      <c r="J105" s="13" t="s">
        <v>205</v>
      </c>
      <c r="K105" s="13" t="s">
        <v>185</v>
      </c>
      <c r="L105" s="11" t="s">
        <v>196</v>
      </c>
      <c r="N105" s="11" t="s">
        <v>179</v>
      </c>
      <c r="O105" s="13" t="s">
        <v>188</v>
      </c>
      <c r="Q105" s="14" t="s">
        <v>378</v>
      </c>
    </row>
    <row r="106" spans="1:17" x14ac:dyDescent="0.2">
      <c r="C106" s="11">
        <v>15</v>
      </c>
      <c r="D106" s="13">
        <v>30</v>
      </c>
      <c r="E106" s="13">
        <v>17</v>
      </c>
      <c r="F106" s="13">
        <v>0</v>
      </c>
      <c r="G106" s="12">
        <f t="shared" ref="G106:G127" si="2">E106*60+F106-C106*60-D106</f>
        <v>90</v>
      </c>
      <c r="H106" s="13" t="s">
        <v>182</v>
      </c>
      <c r="I106" s="11" t="s">
        <v>204</v>
      </c>
      <c r="J106" s="13" t="s">
        <v>205</v>
      </c>
      <c r="K106" s="13" t="s">
        <v>201</v>
      </c>
      <c r="L106" s="11" t="s">
        <v>379</v>
      </c>
      <c r="N106" s="11" t="s">
        <v>179</v>
      </c>
      <c r="O106" s="13" t="s">
        <v>188</v>
      </c>
      <c r="Q106" s="14" t="s">
        <v>380</v>
      </c>
    </row>
    <row r="107" spans="1:17" x14ac:dyDescent="0.2">
      <c r="C107" s="11">
        <v>22</v>
      </c>
      <c r="D107" s="13">
        <v>0</v>
      </c>
      <c r="E107" s="13">
        <v>23</v>
      </c>
      <c r="F107" s="13">
        <v>55</v>
      </c>
      <c r="G107" s="12">
        <f t="shared" si="2"/>
        <v>115</v>
      </c>
      <c r="H107" s="13" t="s">
        <v>374</v>
      </c>
      <c r="K107" s="13" t="s">
        <v>381</v>
      </c>
      <c r="Q107" s="14" t="s">
        <v>382</v>
      </c>
    </row>
    <row r="108" spans="1:17" x14ac:dyDescent="0.2">
      <c r="C108" s="11">
        <v>0</v>
      </c>
      <c r="D108" s="13">
        <v>0</v>
      </c>
      <c r="E108" s="13">
        <v>0</v>
      </c>
      <c r="F108" s="13">
        <v>20</v>
      </c>
      <c r="G108" s="12">
        <f t="shared" si="2"/>
        <v>20</v>
      </c>
      <c r="H108" s="13" t="s">
        <v>374</v>
      </c>
      <c r="K108" s="13" t="s">
        <v>381</v>
      </c>
    </row>
    <row r="109" spans="1:17" x14ac:dyDescent="0.2">
      <c r="A109" s="10">
        <v>46022</v>
      </c>
      <c r="B109" s="11" t="s">
        <v>200</v>
      </c>
      <c r="C109" s="11">
        <v>13</v>
      </c>
      <c r="D109" s="13">
        <v>30</v>
      </c>
      <c r="E109" s="13">
        <v>15</v>
      </c>
      <c r="F109" s="13">
        <v>30</v>
      </c>
      <c r="G109" s="12">
        <f t="shared" si="2"/>
        <v>120</v>
      </c>
      <c r="H109" s="13" t="s">
        <v>237</v>
      </c>
      <c r="I109" s="11" t="s">
        <v>204</v>
      </c>
      <c r="J109" s="13" t="s">
        <v>205</v>
      </c>
      <c r="K109" s="13" t="s">
        <v>354</v>
      </c>
      <c r="N109" s="11" t="s">
        <v>179</v>
      </c>
      <c r="O109" s="13" t="s">
        <v>206</v>
      </c>
      <c r="Q109" s="14" t="s">
        <v>383</v>
      </c>
    </row>
    <row r="110" spans="1:17" x14ac:dyDescent="0.2">
      <c r="C110" s="11">
        <v>16</v>
      </c>
      <c r="D110" s="13">
        <v>0</v>
      </c>
      <c r="E110" s="13">
        <v>18</v>
      </c>
      <c r="F110" s="13">
        <v>30</v>
      </c>
      <c r="G110" s="12">
        <f t="shared" si="2"/>
        <v>150</v>
      </c>
      <c r="H110" s="13" t="s">
        <v>182</v>
      </c>
      <c r="I110" s="11" t="s">
        <v>183</v>
      </c>
      <c r="J110" s="13" t="s">
        <v>184</v>
      </c>
      <c r="K110" s="13" t="s">
        <v>201</v>
      </c>
      <c r="L110" s="11" t="s">
        <v>384</v>
      </c>
      <c r="N110" s="11" t="s">
        <v>179</v>
      </c>
      <c r="O110" s="13" t="s">
        <v>180</v>
      </c>
      <c r="Q110" s="14" t="s">
        <v>385</v>
      </c>
    </row>
    <row r="111" spans="1:17" x14ac:dyDescent="0.2">
      <c r="A111" s="10">
        <v>46023</v>
      </c>
      <c r="B111" s="11" t="s">
        <v>214</v>
      </c>
      <c r="C111" s="11">
        <v>11</v>
      </c>
      <c r="D111" s="13">
        <v>0</v>
      </c>
      <c r="E111" s="13">
        <v>12</v>
      </c>
      <c r="F111" s="13">
        <v>30</v>
      </c>
      <c r="G111" s="12">
        <f t="shared" si="2"/>
        <v>90</v>
      </c>
      <c r="H111" s="13" t="s">
        <v>182</v>
      </c>
      <c r="I111" s="11" t="s">
        <v>204</v>
      </c>
      <c r="J111" s="13" t="s">
        <v>205</v>
      </c>
      <c r="K111" s="13" t="s">
        <v>247</v>
      </c>
      <c r="L111" s="11" t="s">
        <v>302</v>
      </c>
      <c r="N111" s="11" t="s">
        <v>189</v>
      </c>
      <c r="O111" s="13" t="s">
        <v>216</v>
      </c>
      <c r="Q111" s="14" t="s">
        <v>386</v>
      </c>
    </row>
    <row r="112" spans="1:17" x14ac:dyDescent="0.2">
      <c r="C112" s="11">
        <v>14</v>
      </c>
      <c r="D112" s="13">
        <v>0</v>
      </c>
      <c r="E112" s="13">
        <v>17</v>
      </c>
      <c r="F112" s="13">
        <v>0</v>
      </c>
      <c r="G112" s="12">
        <f t="shared" si="2"/>
        <v>180</v>
      </c>
      <c r="H112" s="13" t="s">
        <v>182</v>
      </c>
      <c r="I112" s="11" t="s">
        <v>209</v>
      </c>
      <c r="J112" s="13" t="s">
        <v>215</v>
      </c>
      <c r="K112" s="13" t="s">
        <v>201</v>
      </c>
      <c r="L112" s="11" t="s">
        <v>379</v>
      </c>
      <c r="N112" s="11" t="s">
        <v>189</v>
      </c>
      <c r="O112" s="13" t="s">
        <v>216</v>
      </c>
      <c r="Q112" s="14" t="s">
        <v>387</v>
      </c>
    </row>
    <row r="113" spans="1:17" x14ac:dyDescent="0.2">
      <c r="C113" s="11">
        <v>17</v>
      </c>
      <c r="D113" s="13">
        <v>30</v>
      </c>
      <c r="E113" s="13">
        <v>20</v>
      </c>
      <c r="F113" s="13">
        <v>0</v>
      </c>
      <c r="G113" s="12">
        <f t="shared" si="2"/>
        <v>150</v>
      </c>
      <c r="H113" s="13" t="s">
        <v>374</v>
      </c>
      <c r="K113" s="13" t="s">
        <v>381</v>
      </c>
      <c r="N113" s="11" t="s">
        <v>179</v>
      </c>
      <c r="O113" s="13" t="s">
        <v>188</v>
      </c>
      <c r="Q113" s="14" t="s">
        <v>389</v>
      </c>
    </row>
    <row r="114" spans="1:17" x14ac:dyDescent="0.2">
      <c r="C114" s="11">
        <v>22</v>
      </c>
      <c r="D114" s="13">
        <v>40</v>
      </c>
      <c r="E114" s="13">
        <v>23</v>
      </c>
      <c r="F114" s="13">
        <v>15</v>
      </c>
      <c r="G114" s="12">
        <f t="shared" si="2"/>
        <v>35</v>
      </c>
      <c r="H114" s="13" t="s">
        <v>374</v>
      </c>
      <c r="K114" s="13" t="s">
        <v>381</v>
      </c>
      <c r="N114" s="11" t="s">
        <v>179</v>
      </c>
      <c r="O114" s="13" t="s">
        <v>188</v>
      </c>
      <c r="Q114" s="14" t="s">
        <v>388</v>
      </c>
    </row>
    <row r="115" spans="1:17" x14ac:dyDescent="0.2">
      <c r="A115" s="10">
        <v>46028</v>
      </c>
      <c r="B115" s="11" t="s">
        <v>241</v>
      </c>
      <c r="C115" s="11">
        <v>8</v>
      </c>
      <c r="D115" s="13">
        <v>30</v>
      </c>
      <c r="E115" s="13">
        <v>9</v>
      </c>
      <c r="F115" s="13">
        <v>45</v>
      </c>
      <c r="G115" s="12">
        <f t="shared" si="2"/>
        <v>75</v>
      </c>
      <c r="H115" s="13" t="s">
        <v>237</v>
      </c>
      <c r="I115" s="11" t="s">
        <v>204</v>
      </c>
      <c r="J115" s="13" t="s">
        <v>274</v>
      </c>
      <c r="K115" s="13" t="s">
        <v>284</v>
      </c>
      <c r="N115" s="11" t="s">
        <v>179</v>
      </c>
      <c r="O115" s="13" t="s">
        <v>188</v>
      </c>
      <c r="Q115" s="14" t="s">
        <v>390</v>
      </c>
    </row>
    <row r="116" spans="1:17" x14ac:dyDescent="0.2">
      <c r="C116" s="11">
        <v>10</v>
      </c>
      <c r="D116" s="13">
        <v>35</v>
      </c>
      <c r="E116" s="13">
        <v>11</v>
      </c>
      <c r="F116" s="13">
        <v>50</v>
      </c>
      <c r="G116" s="12">
        <f t="shared" si="2"/>
        <v>75</v>
      </c>
      <c r="H116" s="13" t="s">
        <v>295</v>
      </c>
      <c r="I116" s="11" t="s">
        <v>204</v>
      </c>
      <c r="J116" s="13" t="s">
        <v>274</v>
      </c>
      <c r="K116" s="13" t="s">
        <v>392</v>
      </c>
      <c r="L116" s="11" t="s">
        <v>393</v>
      </c>
      <c r="N116" s="11" t="s">
        <v>179</v>
      </c>
      <c r="O116" s="13" t="s">
        <v>180</v>
      </c>
      <c r="Q116" s="14" t="s">
        <v>394</v>
      </c>
    </row>
    <row r="117" spans="1:17" x14ac:dyDescent="0.2">
      <c r="C117" s="11">
        <v>14</v>
      </c>
      <c r="D117" s="13">
        <v>5</v>
      </c>
      <c r="E117" s="13">
        <v>15</v>
      </c>
      <c r="F117" s="13">
        <v>20</v>
      </c>
      <c r="G117" s="12">
        <f t="shared" si="2"/>
        <v>75</v>
      </c>
      <c r="H117" s="13" t="s">
        <v>182</v>
      </c>
      <c r="I117" s="11" t="s">
        <v>204</v>
      </c>
      <c r="J117" s="13" t="s">
        <v>274</v>
      </c>
      <c r="K117" s="13" t="s">
        <v>257</v>
      </c>
      <c r="L117" s="11" t="s">
        <v>379</v>
      </c>
      <c r="N117" s="11" t="s">
        <v>179</v>
      </c>
      <c r="O117" s="13" t="s">
        <v>188</v>
      </c>
      <c r="Q117" s="14" t="s">
        <v>395</v>
      </c>
    </row>
    <row r="118" spans="1:17" x14ac:dyDescent="0.2">
      <c r="C118" s="11">
        <v>19</v>
      </c>
      <c r="D118" s="13">
        <v>0</v>
      </c>
      <c r="E118" s="13">
        <v>20</v>
      </c>
      <c r="F118" s="13">
        <v>0</v>
      </c>
      <c r="G118" s="12">
        <f t="shared" si="2"/>
        <v>60</v>
      </c>
      <c r="H118" s="13" t="s">
        <v>374</v>
      </c>
      <c r="K118" s="13" t="s">
        <v>396</v>
      </c>
      <c r="N118" s="11" t="s">
        <v>179</v>
      </c>
      <c r="O118" s="13" t="s">
        <v>188</v>
      </c>
    </row>
    <row r="119" spans="1:17" x14ac:dyDescent="0.2">
      <c r="A119" s="10">
        <v>46030</v>
      </c>
      <c r="B119" s="11" t="s">
        <v>214</v>
      </c>
      <c r="C119" s="11">
        <v>12</v>
      </c>
      <c r="D119" s="13">
        <v>40</v>
      </c>
      <c r="E119" s="13">
        <v>13</v>
      </c>
      <c r="F119" s="13">
        <v>55</v>
      </c>
      <c r="G119" s="12">
        <f t="shared" si="2"/>
        <v>75</v>
      </c>
      <c r="H119" s="13" t="s">
        <v>237</v>
      </c>
      <c r="I119" s="11" t="s">
        <v>204</v>
      </c>
      <c r="J119" s="13" t="s">
        <v>274</v>
      </c>
      <c r="K119" s="13" t="s">
        <v>284</v>
      </c>
      <c r="N119" s="11" t="s">
        <v>189</v>
      </c>
      <c r="Q119" s="14" t="s">
        <v>397</v>
      </c>
    </row>
    <row r="120" spans="1:17" x14ac:dyDescent="0.2">
      <c r="C120" s="11">
        <v>14</v>
      </c>
      <c r="D120" s="13">
        <v>5</v>
      </c>
      <c r="E120" s="13">
        <v>15</v>
      </c>
      <c r="F120" s="13">
        <v>20</v>
      </c>
      <c r="G120" s="12">
        <f t="shared" si="2"/>
        <v>75</v>
      </c>
      <c r="H120" s="13" t="s">
        <v>295</v>
      </c>
      <c r="I120" s="11" t="s">
        <v>204</v>
      </c>
      <c r="J120" s="13" t="s">
        <v>274</v>
      </c>
      <c r="K120" s="13" t="s">
        <v>392</v>
      </c>
      <c r="N120" s="11" t="s">
        <v>179</v>
      </c>
      <c r="O120" s="13" t="s">
        <v>188</v>
      </c>
      <c r="Q120" s="14" t="s">
        <v>398</v>
      </c>
    </row>
    <row r="121" spans="1:17" x14ac:dyDescent="0.2">
      <c r="C121" s="11">
        <v>19</v>
      </c>
      <c r="D121" s="13">
        <v>30</v>
      </c>
      <c r="E121" s="13">
        <v>20</v>
      </c>
      <c r="F121" s="13">
        <v>0</v>
      </c>
      <c r="G121" s="12">
        <f t="shared" si="2"/>
        <v>30</v>
      </c>
      <c r="H121" s="13" t="s">
        <v>295</v>
      </c>
      <c r="I121" s="11" t="s">
        <v>183</v>
      </c>
      <c r="J121" s="13" t="s">
        <v>184</v>
      </c>
      <c r="K121" s="13" t="s">
        <v>392</v>
      </c>
      <c r="N121" s="11" t="s">
        <v>179</v>
      </c>
      <c r="O121" s="13" t="s">
        <v>188</v>
      </c>
      <c r="Q121" s="14" t="s">
        <v>399</v>
      </c>
    </row>
    <row r="122" spans="1:17" x14ac:dyDescent="0.2">
      <c r="C122" s="11">
        <v>20</v>
      </c>
      <c r="D122" s="13">
        <v>30</v>
      </c>
      <c r="E122" s="13">
        <v>22</v>
      </c>
      <c r="F122" s="13">
        <v>0</v>
      </c>
      <c r="G122" s="12">
        <f t="shared" si="2"/>
        <v>90</v>
      </c>
      <c r="H122" s="13" t="s">
        <v>182</v>
      </c>
      <c r="I122" s="11" t="s">
        <v>209</v>
      </c>
      <c r="J122" s="13" t="s">
        <v>215</v>
      </c>
      <c r="K122" s="13" t="s">
        <v>257</v>
      </c>
      <c r="L122" s="11" t="s">
        <v>379</v>
      </c>
      <c r="N122" s="11" t="s">
        <v>189</v>
      </c>
      <c r="O122" s="13" t="s">
        <v>216</v>
      </c>
      <c r="Q122" s="14" t="s">
        <v>400</v>
      </c>
    </row>
    <row r="123" spans="1:17" x14ac:dyDescent="0.2">
      <c r="A123" s="10">
        <v>46031</v>
      </c>
      <c r="B123" s="11" t="s">
        <v>222</v>
      </c>
      <c r="C123" s="11">
        <v>10</v>
      </c>
      <c r="D123" s="13">
        <v>35</v>
      </c>
      <c r="E123" s="13">
        <v>11</v>
      </c>
      <c r="F123" s="13">
        <v>50</v>
      </c>
      <c r="G123" s="12">
        <f t="shared" si="2"/>
        <v>75</v>
      </c>
      <c r="H123" s="13" t="s">
        <v>182</v>
      </c>
      <c r="I123" s="11" t="s">
        <v>204</v>
      </c>
      <c r="J123" s="13" t="s">
        <v>274</v>
      </c>
      <c r="K123" s="13" t="s">
        <v>257</v>
      </c>
      <c r="L123" s="11" t="s">
        <v>255</v>
      </c>
      <c r="N123" s="11" t="s">
        <v>179</v>
      </c>
      <c r="O123" s="13" t="s">
        <v>180</v>
      </c>
      <c r="Q123" s="14" t="s">
        <v>401</v>
      </c>
    </row>
    <row r="124" spans="1:17" ht="14" customHeight="1" x14ac:dyDescent="0.2">
      <c r="C124" s="11">
        <v>14</v>
      </c>
      <c r="D124" s="13">
        <v>5</v>
      </c>
      <c r="E124" s="13">
        <v>15</v>
      </c>
      <c r="F124" s="13">
        <v>20</v>
      </c>
      <c r="G124" s="12">
        <f t="shared" si="2"/>
        <v>75</v>
      </c>
      <c r="H124" s="13" t="s">
        <v>225</v>
      </c>
      <c r="I124" s="11" t="s">
        <v>204</v>
      </c>
      <c r="J124" s="13" t="s">
        <v>274</v>
      </c>
      <c r="K124" s="13" t="s">
        <v>226</v>
      </c>
      <c r="L124" s="11" t="s">
        <v>379</v>
      </c>
      <c r="N124" s="11" t="s">
        <v>179</v>
      </c>
      <c r="O124" s="13" t="s">
        <v>188</v>
      </c>
      <c r="P124" s="14" t="s">
        <v>403</v>
      </c>
      <c r="Q124" s="21" t="s">
        <v>402</v>
      </c>
    </row>
    <row r="125" spans="1:17" x14ac:dyDescent="0.2">
      <c r="C125" s="11">
        <v>16</v>
      </c>
      <c r="D125" s="13">
        <v>30</v>
      </c>
      <c r="E125" s="13">
        <v>17</v>
      </c>
      <c r="F125" s="13">
        <v>30</v>
      </c>
      <c r="G125" s="12">
        <f t="shared" si="2"/>
        <v>60</v>
      </c>
      <c r="H125" s="13" t="s">
        <v>225</v>
      </c>
      <c r="I125" s="11" t="s">
        <v>209</v>
      </c>
      <c r="J125" s="13" t="s">
        <v>210</v>
      </c>
      <c r="K125" s="13" t="s">
        <v>226</v>
      </c>
      <c r="N125" s="11" t="s">
        <v>189</v>
      </c>
      <c r="O125" s="13" t="s">
        <v>190</v>
      </c>
      <c r="P125" s="14" t="s">
        <v>404</v>
      </c>
      <c r="Q125" s="14" t="s">
        <v>405</v>
      </c>
    </row>
    <row r="126" spans="1:17" x14ac:dyDescent="0.2">
      <c r="C126" s="11">
        <v>17</v>
      </c>
      <c r="D126" s="13">
        <v>30</v>
      </c>
      <c r="E126" s="13">
        <v>17</v>
      </c>
      <c r="F126" s="13">
        <v>45</v>
      </c>
      <c r="G126" s="12">
        <f t="shared" si="2"/>
        <v>15</v>
      </c>
      <c r="H126" s="13" t="s">
        <v>237</v>
      </c>
      <c r="I126" s="11" t="s">
        <v>209</v>
      </c>
      <c r="J126" s="13" t="s">
        <v>215</v>
      </c>
      <c r="K126" s="13" t="s">
        <v>284</v>
      </c>
      <c r="L126" s="11" t="s">
        <v>286</v>
      </c>
      <c r="N126" s="11" t="s">
        <v>189</v>
      </c>
      <c r="O126" s="13" t="s">
        <v>266</v>
      </c>
      <c r="Q126" s="14" t="s">
        <v>406</v>
      </c>
    </row>
    <row r="127" spans="1:17" x14ac:dyDescent="0.2">
      <c r="C127" s="11">
        <v>21</v>
      </c>
      <c r="D127" s="13">
        <v>0</v>
      </c>
      <c r="E127" s="13">
        <v>21</v>
      </c>
      <c r="F127" s="13">
        <v>30</v>
      </c>
      <c r="G127" s="12">
        <f t="shared" si="2"/>
        <v>30</v>
      </c>
      <c r="H127" s="13" t="s">
        <v>208</v>
      </c>
      <c r="I127" s="11" t="s">
        <v>209</v>
      </c>
      <c r="J127" s="13" t="s">
        <v>210</v>
      </c>
      <c r="K127" s="13" t="s">
        <v>407</v>
      </c>
      <c r="N127" s="11" t="s">
        <v>179</v>
      </c>
      <c r="O127" s="13" t="s">
        <v>188</v>
      </c>
    </row>
    <row r="128" spans="1:17" x14ac:dyDescent="0.2">
      <c r="C128" s="11">
        <v>21</v>
      </c>
      <c r="D128" s="13">
        <v>45</v>
      </c>
      <c r="E128" s="13">
        <v>22</v>
      </c>
      <c r="F128" s="13">
        <v>30</v>
      </c>
      <c r="G128" s="12">
        <f t="shared" ref="G128:G163" si="3">E128*60+F128-C128*60-D128</f>
        <v>45</v>
      </c>
      <c r="H128" s="13" t="s">
        <v>182</v>
      </c>
      <c r="I128" s="11" t="s">
        <v>209</v>
      </c>
      <c r="J128" s="13" t="s">
        <v>215</v>
      </c>
      <c r="K128" s="13" t="s">
        <v>257</v>
      </c>
      <c r="L128" s="11" t="s">
        <v>255</v>
      </c>
      <c r="N128" s="11" t="s">
        <v>189</v>
      </c>
      <c r="O128" s="13" t="s">
        <v>216</v>
      </c>
      <c r="Q128" s="14" t="s">
        <v>408</v>
      </c>
    </row>
    <row r="129" spans="1:17" x14ac:dyDescent="0.2">
      <c r="A129" s="10">
        <v>46032</v>
      </c>
      <c r="B129" s="11" t="s">
        <v>177</v>
      </c>
      <c r="C129" s="11">
        <v>8</v>
      </c>
      <c r="D129" s="13">
        <v>30</v>
      </c>
      <c r="E129" s="13">
        <v>9</v>
      </c>
      <c r="F129" s="13">
        <v>45</v>
      </c>
      <c r="G129" s="12">
        <f t="shared" si="3"/>
        <v>75</v>
      </c>
      <c r="H129" s="13" t="s">
        <v>237</v>
      </c>
      <c r="I129" s="11" t="s">
        <v>183</v>
      </c>
      <c r="J129" s="13" t="s">
        <v>274</v>
      </c>
      <c r="Q129" s="14" t="s">
        <v>409</v>
      </c>
    </row>
    <row r="130" spans="1:17" x14ac:dyDescent="0.2">
      <c r="C130" s="11">
        <v>20</v>
      </c>
      <c r="D130" s="13">
        <v>0</v>
      </c>
      <c r="E130" s="13">
        <v>21</v>
      </c>
      <c r="F130" s="13">
        <v>0</v>
      </c>
      <c r="G130" s="12">
        <f t="shared" si="3"/>
        <v>60</v>
      </c>
      <c r="H130" s="13" t="s">
        <v>182</v>
      </c>
      <c r="I130" s="11" t="s">
        <v>204</v>
      </c>
      <c r="J130" s="13" t="s">
        <v>205</v>
      </c>
      <c r="K130" s="13" t="s">
        <v>257</v>
      </c>
      <c r="L130" s="11" t="s">
        <v>255</v>
      </c>
      <c r="N130" s="11" t="s">
        <v>179</v>
      </c>
      <c r="O130" s="13" t="s">
        <v>180</v>
      </c>
      <c r="Q130" s="14" t="s">
        <v>410</v>
      </c>
    </row>
    <row r="131" spans="1:17" x14ac:dyDescent="0.2">
      <c r="A131" s="10">
        <v>46033</v>
      </c>
      <c r="B131" s="11" t="s">
        <v>192</v>
      </c>
      <c r="C131" s="11">
        <v>12</v>
      </c>
      <c r="D131" s="13">
        <v>30</v>
      </c>
      <c r="E131" s="13">
        <v>13</v>
      </c>
      <c r="F131" s="13">
        <v>15</v>
      </c>
      <c r="G131" s="12">
        <f t="shared" si="3"/>
        <v>45</v>
      </c>
      <c r="H131" s="13" t="s">
        <v>295</v>
      </c>
      <c r="I131" s="11" t="s">
        <v>183</v>
      </c>
      <c r="J131" s="13" t="s">
        <v>184</v>
      </c>
      <c r="K131" s="13" t="s">
        <v>392</v>
      </c>
      <c r="N131" s="11" t="s">
        <v>179</v>
      </c>
      <c r="O131" s="13" t="s">
        <v>188</v>
      </c>
      <c r="Q131" s="14" t="s">
        <v>412</v>
      </c>
    </row>
    <row r="132" spans="1:17" x14ac:dyDescent="0.2">
      <c r="C132" s="11">
        <v>14</v>
      </c>
      <c r="D132" s="13">
        <v>30</v>
      </c>
      <c r="E132" s="13">
        <v>17</v>
      </c>
      <c r="F132" s="13">
        <v>0</v>
      </c>
      <c r="G132" s="12">
        <f t="shared" si="3"/>
        <v>150</v>
      </c>
      <c r="H132" s="13" t="s">
        <v>182</v>
      </c>
      <c r="I132" s="11" t="s">
        <v>204</v>
      </c>
      <c r="J132" s="13" t="s">
        <v>231</v>
      </c>
      <c r="K132" s="13" t="s">
        <v>257</v>
      </c>
      <c r="L132" s="11" t="s">
        <v>379</v>
      </c>
      <c r="N132" s="11" t="s">
        <v>179</v>
      </c>
      <c r="O132" s="13" t="s">
        <v>188</v>
      </c>
      <c r="Q132" s="14" t="s">
        <v>413</v>
      </c>
    </row>
    <row r="133" spans="1:17" x14ac:dyDescent="0.2">
      <c r="C133" s="11">
        <v>17</v>
      </c>
      <c r="D133" s="13">
        <v>30</v>
      </c>
      <c r="E133" s="13">
        <v>18</v>
      </c>
      <c r="F133" s="13">
        <v>15</v>
      </c>
      <c r="G133" s="12">
        <f t="shared" si="3"/>
        <v>45</v>
      </c>
      <c r="H133" s="13" t="s">
        <v>237</v>
      </c>
      <c r="I133" s="11" t="s">
        <v>183</v>
      </c>
      <c r="J133" s="13" t="s">
        <v>184</v>
      </c>
      <c r="K133" s="13" t="s">
        <v>360</v>
      </c>
      <c r="N133" s="11" t="s">
        <v>179</v>
      </c>
      <c r="O133" s="13" t="s">
        <v>188</v>
      </c>
      <c r="Q133" s="14" t="s">
        <v>414</v>
      </c>
    </row>
    <row r="134" spans="1:17" x14ac:dyDescent="0.2">
      <c r="C134" s="11">
        <v>22</v>
      </c>
      <c r="D134" s="13">
        <v>0</v>
      </c>
      <c r="E134" s="13">
        <v>23</v>
      </c>
      <c r="F134" s="13">
        <v>55</v>
      </c>
      <c r="G134" s="12">
        <f t="shared" si="3"/>
        <v>115</v>
      </c>
      <c r="H134" s="13" t="s">
        <v>182</v>
      </c>
      <c r="I134" s="11" t="s">
        <v>183</v>
      </c>
      <c r="J134" s="13" t="s">
        <v>184</v>
      </c>
      <c r="K134" s="13" t="s">
        <v>201</v>
      </c>
      <c r="L134" s="11" t="s">
        <v>379</v>
      </c>
      <c r="N134" s="11" t="s">
        <v>189</v>
      </c>
      <c r="O134" s="13" t="s">
        <v>190</v>
      </c>
      <c r="Q134" s="14" t="s">
        <v>411</v>
      </c>
    </row>
    <row r="135" spans="1:17" x14ac:dyDescent="0.2">
      <c r="A135" s="10">
        <v>46034</v>
      </c>
      <c r="B135" s="11" t="s">
        <v>234</v>
      </c>
      <c r="C135" s="11">
        <v>8</v>
      </c>
      <c r="D135" s="13">
        <v>30</v>
      </c>
      <c r="E135" s="13">
        <v>9</v>
      </c>
      <c r="F135" s="13">
        <v>45</v>
      </c>
      <c r="G135" s="12">
        <f t="shared" si="3"/>
        <v>75</v>
      </c>
      <c r="H135" s="13" t="s">
        <v>295</v>
      </c>
      <c r="I135" s="11" t="s">
        <v>204</v>
      </c>
      <c r="J135" s="13" t="s">
        <v>274</v>
      </c>
      <c r="Q135" s="14" t="s">
        <v>415</v>
      </c>
    </row>
    <row r="136" spans="1:17" x14ac:dyDescent="0.2">
      <c r="C136" s="11">
        <v>12</v>
      </c>
      <c r="D136" s="13">
        <v>40</v>
      </c>
      <c r="E136" s="13">
        <v>13</v>
      </c>
      <c r="F136" s="13">
        <v>55</v>
      </c>
      <c r="G136" s="12">
        <f t="shared" si="3"/>
        <v>75</v>
      </c>
      <c r="H136" s="13" t="s">
        <v>182</v>
      </c>
      <c r="I136" s="11" t="s">
        <v>204</v>
      </c>
      <c r="J136" s="13" t="s">
        <v>274</v>
      </c>
      <c r="K136" s="13" t="s">
        <v>416</v>
      </c>
      <c r="N136" s="11" t="s">
        <v>179</v>
      </c>
      <c r="O136" s="13" t="s">
        <v>188</v>
      </c>
      <c r="Q136" s="14" t="s">
        <v>417</v>
      </c>
    </row>
    <row r="137" spans="1:17" x14ac:dyDescent="0.2">
      <c r="C137" s="11">
        <v>19</v>
      </c>
      <c r="D137" s="13">
        <v>30</v>
      </c>
      <c r="E137" s="13">
        <v>20</v>
      </c>
      <c r="F137" s="13">
        <v>30</v>
      </c>
      <c r="G137" s="12">
        <f t="shared" si="3"/>
        <v>60</v>
      </c>
      <c r="H137" s="13" t="s">
        <v>182</v>
      </c>
      <c r="I137" s="11" t="s">
        <v>209</v>
      </c>
      <c r="J137" s="13" t="s">
        <v>418</v>
      </c>
      <c r="K137" s="13" t="s">
        <v>419</v>
      </c>
      <c r="L137" s="11" t="s">
        <v>379</v>
      </c>
      <c r="N137" s="11" t="s">
        <v>189</v>
      </c>
      <c r="Q137" s="14" t="s">
        <v>420</v>
      </c>
    </row>
    <row r="138" spans="1:17" x14ac:dyDescent="0.2">
      <c r="C138" s="11">
        <v>20</v>
      </c>
      <c r="D138" s="13">
        <v>45</v>
      </c>
      <c r="E138" s="13">
        <v>22</v>
      </c>
      <c r="F138" s="13">
        <v>45</v>
      </c>
      <c r="G138" s="12">
        <f t="shared" si="3"/>
        <v>120</v>
      </c>
      <c r="H138" s="13" t="s">
        <v>182</v>
      </c>
      <c r="I138" s="11" t="s">
        <v>183</v>
      </c>
      <c r="J138" s="13" t="s">
        <v>184</v>
      </c>
      <c r="K138" s="13" t="s">
        <v>247</v>
      </c>
      <c r="L138" s="11" t="s">
        <v>379</v>
      </c>
      <c r="N138" s="11" t="s">
        <v>179</v>
      </c>
      <c r="O138" s="13" t="s">
        <v>188</v>
      </c>
      <c r="Q138" s="14" t="s">
        <v>421</v>
      </c>
    </row>
    <row r="139" spans="1:17" x14ac:dyDescent="0.2">
      <c r="C139" s="11">
        <v>23</v>
      </c>
      <c r="D139" s="13">
        <v>0</v>
      </c>
      <c r="E139" s="13">
        <v>23</v>
      </c>
      <c r="F139" s="13">
        <v>30</v>
      </c>
      <c r="G139" s="12">
        <f t="shared" si="3"/>
        <v>30</v>
      </c>
      <c r="H139" s="13" t="s">
        <v>208</v>
      </c>
      <c r="I139" s="11" t="s">
        <v>204</v>
      </c>
      <c r="J139" s="13" t="s">
        <v>223</v>
      </c>
      <c r="K139" s="13" t="s">
        <v>407</v>
      </c>
      <c r="N139" s="11" t="s">
        <v>189</v>
      </c>
      <c r="Q139" s="14" t="s">
        <v>422</v>
      </c>
    </row>
    <row r="140" spans="1:17" x14ac:dyDescent="0.2">
      <c r="A140" s="10">
        <v>46035</v>
      </c>
      <c r="B140" s="11" t="s">
        <v>241</v>
      </c>
      <c r="C140" s="11">
        <v>8</v>
      </c>
      <c r="D140" s="13">
        <v>30</v>
      </c>
      <c r="E140" s="13">
        <v>9</v>
      </c>
      <c r="F140" s="13">
        <v>45</v>
      </c>
      <c r="G140" s="12">
        <f t="shared" si="3"/>
        <v>75</v>
      </c>
      <c r="H140" s="13" t="s">
        <v>208</v>
      </c>
      <c r="I140" s="11" t="s">
        <v>204</v>
      </c>
      <c r="J140" s="13" t="s">
        <v>274</v>
      </c>
      <c r="K140" s="13" t="s">
        <v>407</v>
      </c>
      <c r="N140" s="11" t="s">
        <v>179</v>
      </c>
      <c r="O140" s="13" t="s">
        <v>188</v>
      </c>
    </row>
    <row r="141" spans="1:17" x14ac:dyDescent="0.2">
      <c r="C141" s="11">
        <v>12</v>
      </c>
      <c r="D141" s="13">
        <v>40</v>
      </c>
      <c r="E141" s="13">
        <v>13</v>
      </c>
      <c r="F141" s="13">
        <v>55</v>
      </c>
      <c r="G141" s="12">
        <f t="shared" si="3"/>
        <v>75</v>
      </c>
      <c r="H141" s="13" t="s">
        <v>229</v>
      </c>
      <c r="I141" s="11" t="s">
        <v>204</v>
      </c>
      <c r="J141" s="13" t="s">
        <v>274</v>
      </c>
      <c r="K141" s="13" t="s">
        <v>342</v>
      </c>
      <c r="N141" s="11" t="s">
        <v>179</v>
      </c>
      <c r="O141" s="13" t="s">
        <v>188</v>
      </c>
      <c r="Q141" s="14" t="s">
        <v>423</v>
      </c>
    </row>
    <row r="142" spans="1:17" x14ac:dyDescent="0.2">
      <c r="C142" s="11">
        <v>14</v>
      </c>
      <c r="D142" s="13">
        <v>5</v>
      </c>
      <c r="E142" s="13">
        <v>15</v>
      </c>
      <c r="F142" s="13">
        <v>20</v>
      </c>
      <c r="G142" s="12">
        <f t="shared" si="3"/>
        <v>75</v>
      </c>
      <c r="H142" s="13" t="s">
        <v>237</v>
      </c>
      <c r="I142" s="11" t="s">
        <v>204</v>
      </c>
      <c r="J142" s="13" t="s">
        <v>274</v>
      </c>
      <c r="K142" s="13" t="s">
        <v>361</v>
      </c>
      <c r="N142" s="11" t="s">
        <v>179</v>
      </c>
      <c r="Q142" s="14" t="s">
        <v>424</v>
      </c>
    </row>
    <row r="143" spans="1:17" x14ac:dyDescent="0.2">
      <c r="C143" s="11">
        <v>19</v>
      </c>
      <c r="D143" s="13">
        <v>30</v>
      </c>
      <c r="E143" s="13">
        <v>20</v>
      </c>
      <c r="F143" s="13">
        <v>30</v>
      </c>
      <c r="G143" s="12">
        <f t="shared" si="3"/>
        <v>60</v>
      </c>
      <c r="H143" s="13" t="s">
        <v>182</v>
      </c>
      <c r="I143" s="11" t="s">
        <v>209</v>
      </c>
      <c r="J143" s="13" t="s">
        <v>210</v>
      </c>
      <c r="K143" s="13" t="s">
        <v>419</v>
      </c>
      <c r="L143" s="11" t="s">
        <v>379</v>
      </c>
      <c r="N143" s="11" t="s">
        <v>189</v>
      </c>
      <c r="Q143" s="14" t="s">
        <v>426</v>
      </c>
    </row>
    <row r="144" spans="1:17" x14ac:dyDescent="0.2">
      <c r="C144" s="11">
        <v>21</v>
      </c>
      <c r="D144" s="13">
        <v>0</v>
      </c>
      <c r="E144" s="13">
        <v>22</v>
      </c>
      <c r="F144" s="13">
        <v>45</v>
      </c>
      <c r="G144" s="12">
        <f t="shared" si="3"/>
        <v>105</v>
      </c>
      <c r="H144" s="13" t="s">
        <v>182</v>
      </c>
      <c r="I144" s="11" t="s">
        <v>183</v>
      </c>
      <c r="J144" s="13" t="s">
        <v>184</v>
      </c>
      <c r="K144" s="13" t="s">
        <v>419</v>
      </c>
      <c r="L144" s="11" t="s">
        <v>379</v>
      </c>
      <c r="N144" s="11" t="s">
        <v>179</v>
      </c>
      <c r="Q144" s="14" t="s">
        <v>425</v>
      </c>
    </row>
    <row r="145" spans="1:17" x14ac:dyDescent="0.2">
      <c r="C145" s="11">
        <v>23</v>
      </c>
      <c r="D145" s="13">
        <v>0</v>
      </c>
      <c r="E145" s="13">
        <v>23</v>
      </c>
      <c r="F145" s="13">
        <v>45</v>
      </c>
      <c r="G145" s="12">
        <f t="shared" si="3"/>
        <v>45</v>
      </c>
      <c r="H145" s="13" t="s">
        <v>237</v>
      </c>
      <c r="I145" s="11" t="s">
        <v>209</v>
      </c>
      <c r="J145" s="13" t="s">
        <v>418</v>
      </c>
      <c r="K145" s="13" t="s">
        <v>284</v>
      </c>
      <c r="N145" s="11" t="s">
        <v>189</v>
      </c>
      <c r="O145" s="13" t="s">
        <v>266</v>
      </c>
      <c r="Q145" s="14" t="s">
        <v>427</v>
      </c>
    </row>
    <row r="146" spans="1:17" x14ac:dyDescent="0.2">
      <c r="A146" s="10">
        <v>46036</v>
      </c>
      <c r="B146" s="11" t="s">
        <v>200</v>
      </c>
      <c r="C146" s="11">
        <v>10</v>
      </c>
      <c r="D146" s="13">
        <v>35</v>
      </c>
      <c r="E146" s="13">
        <v>11</v>
      </c>
      <c r="F146" s="13">
        <v>50</v>
      </c>
      <c r="G146" s="12">
        <f t="shared" si="3"/>
        <v>75</v>
      </c>
      <c r="H146" s="13" t="s">
        <v>295</v>
      </c>
      <c r="I146" s="11" t="s">
        <v>204</v>
      </c>
      <c r="J146" s="13" t="s">
        <v>274</v>
      </c>
      <c r="Q146" s="14" t="s">
        <v>428</v>
      </c>
    </row>
    <row r="147" spans="1:17" x14ac:dyDescent="0.2">
      <c r="C147" s="11">
        <v>20</v>
      </c>
      <c r="D147" s="13">
        <v>0</v>
      </c>
      <c r="E147" s="13">
        <v>22</v>
      </c>
      <c r="F147" s="13">
        <v>30</v>
      </c>
      <c r="G147" s="12">
        <f t="shared" si="3"/>
        <v>150</v>
      </c>
      <c r="H147" s="13" t="s">
        <v>182</v>
      </c>
      <c r="I147" s="11" t="s">
        <v>183</v>
      </c>
      <c r="J147" s="13" t="s">
        <v>205</v>
      </c>
      <c r="N147" s="11" t="s">
        <v>189</v>
      </c>
      <c r="O147" s="13" t="s">
        <v>190</v>
      </c>
      <c r="Q147" s="14" t="s">
        <v>429</v>
      </c>
    </row>
    <row r="148" spans="1:17" x14ac:dyDescent="0.2">
      <c r="C148" s="11">
        <v>23</v>
      </c>
      <c r="D148" s="13">
        <v>0</v>
      </c>
      <c r="E148" s="13">
        <v>23</v>
      </c>
      <c r="F148" s="13">
        <v>55</v>
      </c>
      <c r="G148" s="12">
        <f t="shared" si="3"/>
        <v>55</v>
      </c>
      <c r="H148" s="13" t="s">
        <v>295</v>
      </c>
      <c r="I148" s="11" t="s">
        <v>183</v>
      </c>
      <c r="J148" s="13" t="s">
        <v>184</v>
      </c>
      <c r="Q148" s="14" t="s">
        <v>430</v>
      </c>
    </row>
    <row r="149" spans="1:17" x14ac:dyDescent="0.2">
      <c r="A149" s="10">
        <v>46037</v>
      </c>
      <c r="B149" s="11" t="s">
        <v>214</v>
      </c>
      <c r="C149" s="11">
        <v>10</v>
      </c>
      <c r="D149" s="13">
        <v>35</v>
      </c>
      <c r="E149" s="13">
        <v>11</v>
      </c>
      <c r="F149" s="13">
        <v>50</v>
      </c>
      <c r="G149" s="12">
        <f t="shared" si="3"/>
        <v>75</v>
      </c>
      <c r="H149" s="13" t="s">
        <v>182</v>
      </c>
      <c r="I149" s="11" t="s">
        <v>183</v>
      </c>
      <c r="J149" s="13" t="s">
        <v>274</v>
      </c>
      <c r="Q149" s="14" t="s">
        <v>431</v>
      </c>
    </row>
    <row r="150" spans="1:17" x14ac:dyDescent="0.2">
      <c r="C150" s="11">
        <v>12</v>
      </c>
      <c r="D150" s="13">
        <v>40</v>
      </c>
      <c r="E150" s="13">
        <v>13</v>
      </c>
      <c r="F150" s="13">
        <v>55</v>
      </c>
      <c r="G150" s="12">
        <f t="shared" si="3"/>
        <v>75</v>
      </c>
      <c r="H150" s="13" t="s">
        <v>225</v>
      </c>
      <c r="I150" s="11" t="s">
        <v>204</v>
      </c>
      <c r="J150" s="13" t="s">
        <v>274</v>
      </c>
      <c r="Q150" s="14" t="s">
        <v>432</v>
      </c>
    </row>
    <row r="151" spans="1:17" x14ac:dyDescent="0.2">
      <c r="C151" s="11">
        <v>14</v>
      </c>
      <c r="D151" s="13">
        <v>5</v>
      </c>
      <c r="E151" s="13">
        <v>15</v>
      </c>
      <c r="F151" s="13">
        <v>20</v>
      </c>
      <c r="G151" s="12">
        <f t="shared" si="3"/>
        <v>75</v>
      </c>
      <c r="H151" s="13" t="s">
        <v>208</v>
      </c>
      <c r="I151" s="11" t="s">
        <v>204</v>
      </c>
      <c r="J151" s="13" t="s">
        <v>274</v>
      </c>
      <c r="Q151" s="14" t="s">
        <v>433</v>
      </c>
    </row>
    <row r="152" spans="1:17" x14ac:dyDescent="0.2">
      <c r="C152" s="11">
        <v>20</v>
      </c>
      <c r="D152" s="13">
        <v>0</v>
      </c>
      <c r="E152" s="13">
        <v>21</v>
      </c>
      <c r="F152" s="13">
        <v>30</v>
      </c>
      <c r="G152" s="12">
        <f t="shared" si="3"/>
        <v>90</v>
      </c>
      <c r="H152" s="13" t="s">
        <v>182</v>
      </c>
      <c r="I152" s="11" t="s">
        <v>183</v>
      </c>
      <c r="J152" s="13" t="s">
        <v>205</v>
      </c>
      <c r="K152" s="13" t="s">
        <v>247</v>
      </c>
      <c r="L152" s="11" t="s">
        <v>302</v>
      </c>
      <c r="Q152" s="14" t="s">
        <v>434</v>
      </c>
    </row>
    <row r="153" spans="1:17" x14ac:dyDescent="0.2">
      <c r="C153" s="11">
        <v>22</v>
      </c>
      <c r="D153" s="13">
        <v>0</v>
      </c>
      <c r="E153" s="13">
        <v>23</v>
      </c>
      <c r="F153" s="13">
        <v>0</v>
      </c>
      <c r="G153" s="12">
        <f t="shared" si="3"/>
        <v>60</v>
      </c>
      <c r="H153" s="13" t="s">
        <v>229</v>
      </c>
      <c r="I153" s="11" t="s">
        <v>183</v>
      </c>
      <c r="J153" s="13" t="s">
        <v>184</v>
      </c>
      <c r="N153" s="11" t="s">
        <v>189</v>
      </c>
      <c r="Q153" s="14" t="s">
        <v>435</v>
      </c>
    </row>
    <row r="154" spans="1:17" x14ac:dyDescent="0.2">
      <c r="C154" s="11">
        <v>23</v>
      </c>
      <c r="D154" s="13">
        <v>35</v>
      </c>
      <c r="E154" s="13">
        <v>23</v>
      </c>
      <c r="F154" s="13">
        <v>55</v>
      </c>
      <c r="G154" s="12">
        <f t="shared" si="3"/>
        <v>20</v>
      </c>
    </row>
    <row r="155" spans="1:17" x14ac:dyDescent="0.2">
      <c r="A155" s="10">
        <v>46038</v>
      </c>
      <c r="B155" s="11" t="s">
        <v>222</v>
      </c>
      <c r="C155" s="11">
        <v>0</v>
      </c>
      <c r="D155" s="13">
        <v>0</v>
      </c>
      <c r="E155" s="13">
        <v>0</v>
      </c>
      <c r="F155" s="13">
        <v>30</v>
      </c>
      <c r="G155" s="12">
        <f t="shared" si="3"/>
        <v>30</v>
      </c>
      <c r="H155" s="13" t="s">
        <v>237</v>
      </c>
      <c r="I155" s="11" t="s">
        <v>183</v>
      </c>
      <c r="J155" s="13" t="s">
        <v>184</v>
      </c>
      <c r="N155" s="11" t="s">
        <v>189</v>
      </c>
      <c r="O155" s="13" t="s">
        <v>266</v>
      </c>
      <c r="Q155" s="14" t="s">
        <v>436</v>
      </c>
    </row>
    <row r="156" spans="1:17" x14ac:dyDescent="0.2">
      <c r="C156" s="11">
        <v>8</v>
      </c>
      <c r="D156" s="13">
        <v>30</v>
      </c>
      <c r="E156" s="13">
        <v>9</v>
      </c>
      <c r="F156" s="13">
        <v>45</v>
      </c>
      <c r="G156" s="12">
        <f t="shared" si="3"/>
        <v>75</v>
      </c>
      <c r="H156" s="13" t="s">
        <v>237</v>
      </c>
      <c r="I156" s="11" t="s">
        <v>204</v>
      </c>
      <c r="J156" s="13" t="s">
        <v>274</v>
      </c>
      <c r="Q156" s="14" t="s">
        <v>437</v>
      </c>
    </row>
    <row r="157" spans="1:17" x14ac:dyDescent="0.2">
      <c r="C157" s="11">
        <v>12</v>
      </c>
      <c r="D157" s="13">
        <v>40</v>
      </c>
      <c r="E157" s="13">
        <v>13</v>
      </c>
      <c r="F157" s="13">
        <v>55</v>
      </c>
      <c r="G157" s="12">
        <f t="shared" si="3"/>
        <v>75</v>
      </c>
      <c r="H157" s="13" t="s">
        <v>229</v>
      </c>
      <c r="I157" s="11" t="s">
        <v>204</v>
      </c>
      <c r="J157" s="13" t="s">
        <v>274</v>
      </c>
      <c r="Q157" s="14" t="s">
        <v>438</v>
      </c>
    </row>
    <row r="158" spans="1:17" x14ac:dyDescent="0.2">
      <c r="C158" s="11">
        <v>20</v>
      </c>
      <c r="D158" s="13">
        <v>0</v>
      </c>
      <c r="E158" s="13">
        <v>22</v>
      </c>
      <c r="F158" s="13">
        <v>30</v>
      </c>
      <c r="G158" s="12">
        <f t="shared" si="3"/>
        <v>150</v>
      </c>
      <c r="H158" s="13" t="s">
        <v>182</v>
      </c>
      <c r="Q158" s="14" t="s">
        <v>439</v>
      </c>
    </row>
    <row r="159" spans="1:17" x14ac:dyDescent="0.2">
      <c r="C159" s="11">
        <v>23</v>
      </c>
      <c r="D159" s="13">
        <v>0</v>
      </c>
      <c r="E159" s="13">
        <v>23</v>
      </c>
      <c r="F159" s="13">
        <v>35</v>
      </c>
      <c r="G159" s="12">
        <f t="shared" si="3"/>
        <v>35</v>
      </c>
      <c r="H159" s="13" t="s">
        <v>295</v>
      </c>
      <c r="I159" s="11" t="s">
        <v>183</v>
      </c>
      <c r="J159" s="13" t="s">
        <v>184</v>
      </c>
      <c r="Q159" s="14" t="s">
        <v>440</v>
      </c>
    </row>
    <row r="160" spans="1:17" x14ac:dyDescent="0.2">
      <c r="A160" s="10">
        <v>46039</v>
      </c>
      <c r="B160" s="11" t="s">
        <v>177</v>
      </c>
      <c r="C160" s="11">
        <v>8</v>
      </c>
      <c r="D160" s="13">
        <v>30</v>
      </c>
      <c r="E160" s="13">
        <v>9</v>
      </c>
      <c r="F160" s="12">
        <v>45</v>
      </c>
      <c r="G160" s="12">
        <f t="shared" si="3"/>
        <v>75</v>
      </c>
      <c r="H160" s="13" t="s">
        <v>182</v>
      </c>
      <c r="I160" s="11" t="s">
        <v>204</v>
      </c>
      <c r="J160" s="13" t="s">
        <v>274</v>
      </c>
      <c r="Q160" s="14" t="s">
        <v>441</v>
      </c>
    </row>
    <row r="161" spans="1:17" x14ac:dyDescent="0.2">
      <c r="C161" s="11">
        <v>12</v>
      </c>
      <c r="D161" s="13">
        <v>0</v>
      </c>
      <c r="E161" s="13">
        <v>13</v>
      </c>
      <c r="F161" s="13">
        <v>0</v>
      </c>
      <c r="G161" s="12">
        <f t="shared" si="3"/>
        <v>60</v>
      </c>
      <c r="H161" s="13" t="s">
        <v>229</v>
      </c>
      <c r="I161" s="11" t="s">
        <v>183</v>
      </c>
      <c r="J161" s="13" t="s">
        <v>184</v>
      </c>
      <c r="Q161" s="14" t="s">
        <v>442</v>
      </c>
    </row>
    <row r="162" spans="1:17" x14ac:dyDescent="0.2">
      <c r="C162" s="11">
        <v>13</v>
      </c>
      <c r="D162" s="13">
        <v>45</v>
      </c>
      <c r="E162" s="13">
        <v>14</v>
      </c>
      <c r="F162" s="13">
        <v>45</v>
      </c>
      <c r="G162" s="12">
        <f t="shared" si="3"/>
        <v>60</v>
      </c>
      <c r="H162" s="13" t="s">
        <v>229</v>
      </c>
      <c r="I162" s="11" t="s">
        <v>183</v>
      </c>
      <c r="J162" s="13" t="s">
        <v>205</v>
      </c>
      <c r="Q162" s="14" t="s">
        <v>443</v>
      </c>
    </row>
    <row r="163" spans="1:17" x14ac:dyDescent="0.2">
      <c r="C163" s="11">
        <v>20</v>
      </c>
      <c r="D163" s="13">
        <v>30</v>
      </c>
      <c r="E163" s="13">
        <v>22</v>
      </c>
      <c r="F163" s="13">
        <v>30</v>
      </c>
      <c r="G163" s="12">
        <f t="shared" si="3"/>
        <v>120</v>
      </c>
      <c r="H163" s="13" t="s">
        <v>182</v>
      </c>
      <c r="I163" s="11" t="s">
        <v>209</v>
      </c>
      <c r="J163" s="13" t="s">
        <v>215</v>
      </c>
      <c r="N163" s="11" t="s">
        <v>189</v>
      </c>
      <c r="O163" s="13" t="s">
        <v>212</v>
      </c>
      <c r="Q163" s="14" t="s">
        <v>444</v>
      </c>
    </row>
    <row r="164" spans="1:17" x14ac:dyDescent="0.2">
      <c r="C164" s="11">
        <v>23</v>
      </c>
      <c r="D164" s="13">
        <v>0</v>
      </c>
      <c r="E164" s="13">
        <v>23</v>
      </c>
      <c r="F164" s="13">
        <v>55</v>
      </c>
      <c r="G164" s="12">
        <f t="shared" ref="G164:G221" si="4">E164*60+F164-C164*60-D164</f>
        <v>55</v>
      </c>
      <c r="H164" s="13" t="s">
        <v>295</v>
      </c>
      <c r="I164" s="11" t="s">
        <v>209</v>
      </c>
      <c r="J164" s="13" t="s">
        <v>215</v>
      </c>
      <c r="Q164" s="14" t="s">
        <v>445</v>
      </c>
    </row>
    <row r="165" spans="1:17" x14ac:dyDescent="0.2">
      <c r="A165" s="10">
        <v>46055</v>
      </c>
      <c r="B165" s="11" t="s">
        <v>234</v>
      </c>
      <c r="C165" s="11">
        <v>8</v>
      </c>
      <c r="D165" s="13">
        <v>30</v>
      </c>
      <c r="E165" s="13">
        <v>9</v>
      </c>
      <c r="F165" s="13">
        <v>45</v>
      </c>
      <c r="G165" s="12">
        <f t="shared" si="4"/>
        <v>75</v>
      </c>
      <c r="H165" s="13" t="s">
        <v>295</v>
      </c>
      <c r="I165" s="11" t="s">
        <v>204</v>
      </c>
      <c r="J165" s="13" t="s">
        <v>274</v>
      </c>
      <c r="Q165" s="14" t="s">
        <v>446</v>
      </c>
    </row>
    <row r="166" spans="1:17" x14ac:dyDescent="0.2">
      <c r="C166" s="11">
        <v>12</v>
      </c>
      <c r="D166" s="13">
        <v>40</v>
      </c>
      <c r="E166" s="13">
        <v>13</v>
      </c>
      <c r="F166" s="13">
        <v>55</v>
      </c>
      <c r="G166" s="12">
        <f t="shared" si="4"/>
        <v>75</v>
      </c>
      <c r="H166" s="13" t="s">
        <v>182</v>
      </c>
      <c r="I166" s="11" t="s">
        <v>204</v>
      </c>
      <c r="J166" s="13" t="s">
        <v>274</v>
      </c>
      <c r="K166" s="13" t="s">
        <v>447</v>
      </c>
      <c r="N166" s="11" t="s">
        <v>179</v>
      </c>
      <c r="O166" s="13" t="s">
        <v>206</v>
      </c>
    </row>
    <row r="167" spans="1:17" x14ac:dyDescent="0.2">
      <c r="C167" s="11">
        <v>21</v>
      </c>
      <c r="D167" s="13">
        <v>30</v>
      </c>
      <c r="E167" s="13">
        <v>22</v>
      </c>
      <c r="F167" s="13">
        <v>0</v>
      </c>
      <c r="G167" s="12">
        <f t="shared" si="4"/>
        <v>30</v>
      </c>
      <c r="H167" s="13" t="s">
        <v>449</v>
      </c>
      <c r="Q167" s="14" t="s">
        <v>450</v>
      </c>
    </row>
    <row r="168" spans="1:17" x14ac:dyDescent="0.2">
      <c r="C168" s="11">
        <v>22</v>
      </c>
      <c r="D168" s="13">
        <v>25</v>
      </c>
      <c r="E168" s="13">
        <v>23</v>
      </c>
      <c r="F168" s="13">
        <v>0</v>
      </c>
      <c r="G168" s="12">
        <f t="shared" si="4"/>
        <v>35</v>
      </c>
      <c r="H168" s="13" t="s">
        <v>237</v>
      </c>
      <c r="I168" s="11" t="s">
        <v>183</v>
      </c>
      <c r="J168" s="13" t="s">
        <v>184</v>
      </c>
      <c r="K168" s="13" t="s">
        <v>360</v>
      </c>
      <c r="N168" s="11" t="s">
        <v>179</v>
      </c>
      <c r="O168" s="13" t="s">
        <v>188</v>
      </c>
      <c r="Q168" s="14" t="s">
        <v>452</v>
      </c>
    </row>
    <row r="169" spans="1:17" x14ac:dyDescent="0.2">
      <c r="A169" s="10">
        <v>46118</v>
      </c>
      <c r="B169" s="11" t="s">
        <v>234</v>
      </c>
      <c r="C169" s="11">
        <v>19</v>
      </c>
      <c r="D169" s="13">
        <v>0</v>
      </c>
      <c r="E169" s="13">
        <v>21</v>
      </c>
      <c r="F169" s="13">
        <v>0</v>
      </c>
      <c r="G169" s="12">
        <f t="shared" si="4"/>
        <v>120</v>
      </c>
      <c r="H169" s="13" t="s">
        <v>182</v>
      </c>
      <c r="I169" s="11" t="s">
        <v>183</v>
      </c>
      <c r="J169" s="13" t="s">
        <v>184</v>
      </c>
      <c r="K169" s="13" t="s">
        <v>453</v>
      </c>
      <c r="N169" s="13" t="s">
        <v>179</v>
      </c>
      <c r="O169" s="13" t="s">
        <v>188</v>
      </c>
      <c r="Q169" s="14" t="s">
        <v>454</v>
      </c>
    </row>
    <row r="170" spans="1:17" x14ac:dyDescent="0.2">
      <c r="C170" s="11">
        <v>22</v>
      </c>
      <c r="D170" s="13">
        <v>5</v>
      </c>
      <c r="E170" s="13">
        <v>22</v>
      </c>
      <c r="F170" s="13">
        <v>40</v>
      </c>
      <c r="G170" s="12">
        <f t="shared" si="4"/>
        <v>35</v>
      </c>
      <c r="H170" s="13" t="s">
        <v>295</v>
      </c>
      <c r="I170" s="11" t="s">
        <v>209</v>
      </c>
      <c r="J170" s="13" t="s">
        <v>210</v>
      </c>
      <c r="N170" s="11" t="s">
        <v>179</v>
      </c>
      <c r="O170" s="13" t="s">
        <v>188</v>
      </c>
      <c r="Q170" s="14" t="s">
        <v>455</v>
      </c>
    </row>
    <row r="171" spans="1:17" x14ac:dyDescent="0.2">
      <c r="C171" s="11">
        <v>22</v>
      </c>
      <c r="D171" s="13">
        <v>45</v>
      </c>
      <c r="E171" s="13">
        <v>23</v>
      </c>
      <c r="F171" s="13">
        <v>25</v>
      </c>
      <c r="G171" s="12">
        <f t="shared" si="4"/>
        <v>40</v>
      </c>
      <c r="H171" s="13" t="s">
        <v>182</v>
      </c>
      <c r="I171" s="11" t="s">
        <v>209</v>
      </c>
      <c r="J171" s="13" t="s">
        <v>215</v>
      </c>
      <c r="N171" s="11" t="s">
        <v>189</v>
      </c>
      <c r="Q171" s="14" t="s">
        <v>456</v>
      </c>
    </row>
    <row r="172" spans="1:17" x14ac:dyDescent="0.2">
      <c r="A172" s="10">
        <v>46119</v>
      </c>
      <c r="B172" s="11" t="s">
        <v>241</v>
      </c>
      <c r="C172" s="11">
        <v>21</v>
      </c>
      <c r="D172" s="13">
        <v>30</v>
      </c>
      <c r="E172" s="13">
        <v>23</v>
      </c>
      <c r="F172" s="13">
        <v>10</v>
      </c>
      <c r="G172" s="12">
        <f t="shared" si="4"/>
        <v>100</v>
      </c>
      <c r="H172" s="13" t="s">
        <v>359</v>
      </c>
      <c r="I172" s="11" t="s">
        <v>209</v>
      </c>
      <c r="J172" s="13" t="s">
        <v>215</v>
      </c>
      <c r="N172" s="11" t="s">
        <v>189</v>
      </c>
      <c r="Q172" s="14" t="s">
        <v>457</v>
      </c>
    </row>
    <row r="173" spans="1:17" x14ac:dyDescent="0.2">
      <c r="C173" s="11">
        <v>23</v>
      </c>
      <c r="D173" s="13">
        <v>20</v>
      </c>
      <c r="E173" s="13">
        <v>23</v>
      </c>
      <c r="F173" s="13">
        <v>55</v>
      </c>
      <c r="G173" s="12">
        <f t="shared" si="4"/>
        <v>35</v>
      </c>
      <c r="H173" s="13" t="s">
        <v>182</v>
      </c>
      <c r="I173" s="11" t="s">
        <v>209</v>
      </c>
      <c r="J173" s="13" t="s">
        <v>210</v>
      </c>
      <c r="N173" s="11" t="s">
        <v>189</v>
      </c>
      <c r="Q173" s="14" t="s">
        <v>458</v>
      </c>
    </row>
    <row r="174" spans="1:17" x14ac:dyDescent="0.2">
      <c r="A174" s="10">
        <v>46120</v>
      </c>
      <c r="B174" s="11" t="s">
        <v>200</v>
      </c>
      <c r="C174" s="11">
        <v>20</v>
      </c>
      <c r="D174" s="13">
        <v>30</v>
      </c>
      <c r="E174" s="13">
        <v>22</v>
      </c>
      <c r="F174" s="13">
        <v>0</v>
      </c>
      <c r="G174" s="12">
        <f t="shared" si="4"/>
        <v>90</v>
      </c>
      <c r="H174" s="13" t="s">
        <v>237</v>
      </c>
      <c r="I174" s="11" t="s">
        <v>209</v>
      </c>
      <c r="J174" s="13" t="s">
        <v>210</v>
      </c>
      <c r="K174" s="13" t="s">
        <v>361</v>
      </c>
      <c r="N174" s="11" t="s">
        <v>189</v>
      </c>
      <c r="Q174" s="14" t="s">
        <v>459</v>
      </c>
    </row>
    <row r="175" spans="1:17" x14ac:dyDescent="0.2">
      <c r="C175" s="11">
        <v>23</v>
      </c>
      <c r="D175" s="13">
        <v>15</v>
      </c>
      <c r="E175" s="13">
        <v>23</v>
      </c>
      <c r="F175" s="13">
        <v>45</v>
      </c>
      <c r="G175" s="12">
        <f t="shared" si="4"/>
        <v>30</v>
      </c>
      <c r="H175" s="13" t="s">
        <v>229</v>
      </c>
      <c r="I175" s="11" t="s">
        <v>209</v>
      </c>
      <c r="J175" s="13" t="s">
        <v>210</v>
      </c>
      <c r="N175" s="11" t="s">
        <v>179</v>
      </c>
      <c r="O175" s="13" t="s">
        <v>180</v>
      </c>
      <c r="Q175" s="14" t="s">
        <v>460</v>
      </c>
    </row>
    <row r="176" spans="1:17" x14ac:dyDescent="0.2">
      <c r="A176" s="10">
        <v>46121</v>
      </c>
      <c r="B176" s="11" t="s">
        <v>214</v>
      </c>
      <c r="C176" s="11">
        <v>21</v>
      </c>
      <c r="D176" s="13">
        <v>0</v>
      </c>
      <c r="E176" s="13">
        <v>23</v>
      </c>
      <c r="F176" s="13">
        <v>0</v>
      </c>
      <c r="G176" s="12">
        <f t="shared" si="4"/>
        <v>120</v>
      </c>
      <c r="H176" s="13" t="s">
        <v>359</v>
      </c>
      <c r="I176" s="11" t="s">
        <v>204</v>
      </c>
      <c r="J176" s="13" t="s">
        <v>205</v>
      </c>
      <c r="K176" s="13" t="s">
        <v>369</v>
      </c>
      <c r="N176" s="11" t="s">
        <v>179</v>
      </c>
      <c r="O176" s="13" t="s">
        <v>180</v>
      </c>
      <c r="Q176" s="14" t="s">
        <v>461</v>
      </c>
    </row>
    <row r="177" spans="1:17" x14ac:dyDescent="0.2">
      <c r="C177" s="11">
        <v>23</v>
      </c>
      <c r="D177" s="13">
        <v>30</v>
      </c>
      <c r="E177" s="13">
        <v>23</v>
      </c>
      <c r="F177" s="13">
        <v>55</v>
      </c>
      <c r="G177" s="12">
        <f t="shared" si="4"/>
        <v>25</v>
      </c>
      <c r="H177" s="13" t="s">
        <v>182</v>
      </c>
      <c r="I177" s="11" t="s">
        <v>209</v>
      </c>
      <c r="J177" s="13" t="s">
        <v>210</v>
      </c>
      <c r="K177" s="13" t="s">
        <v>453</v>
      </c>
      <c r="N177" s="11" t="s">
        <v>189</v>
      </c>
      <c r="Q177" s="14" t="s">
        <v>462</v>
      </c>
    </row>
    <row r="178" spans="1:17" x14ac:dyDescent="0.2">
      <c r="A178" s="10">
        <v>46122</v>
      </c>
      <c r="B178" s="11" t="s">
        <v>222</v>
      </c>
      <c r="C178" s="11">
        <v>22</v>
      </c>
      <c r="D178" s="13">
        <v>0</v>
      </c>
      <c r="E178" s="13">
        <v>23</v>
      </c>
      <c r="F178" s="13">
        <v>0</v>
      </c>
      <c r="G178" s="12">
        <f t="shared" si="4"/>
        <v>60</v>
      </c>
      <c r="H178" s="13" t="s">
        <v>295</v>
      </c>
      <c r="I178" s="11" t="s">
        <v>183</v>
      </c>
      <c r="J178" s="13" t="s">
        <v>184</v>
      </c>
      <c r="N178" s="11" t="s">
        <v>179</v>
      </c>
      <c r="O178" s="13" t="s">
        <v>188</v>
      </c>
      <c r="Q178" s="14" t="s">
        <v>463</v>
      </c>
    </row>
    <row r="179" spans="1:17" x14ac:dyDescent="0.2">
      <c r="A179" s="10">
        <v>46123</v>
      </c>
      <c r="B179" s="11" t="s">
        <v>177</v>
      </c>
      <c r="C179" s="11">
        <v>21</v>
      </c>
      <c r="D179" s="13">
        <v>30</v>
      </c>
      <c r="E179" s="13">
        <v>23</v>
      </c>
      <c r="F179" s="13">
        <v>55</v>
      </c>
      <c r="G179" s="12">
        <f t="shared" si="4"/>
        <v>145</v>
      </c>
      <c r="H179" s="13" t="s">
        <v>359</v>
      </c>
      <c r="I179" s="11" t="s">
        <v>204</v>
      </c>
      <c r="J179" s="13" t="s">
        <v>205</v>
      </c>
      <c r="K179" s="13" t="s">
        <v>369</v>
      </c>
      <c r="N179" s="11" t="s">
        <v>179</v>
      </c>
      <c r="O179" s="13" t="s">
        <v>188</v>
      </c>
    </row>
    <row r="180" spans="1:17" x14ac:dyDescent="0.2">
      <c r="B180" s="11" t="s">
        <v>192</v>
      </c>
      <c r="C180" s="11">
        <v>0</v>
      </c>
      <c r="D180" s="13">
        <v>0</v>
      </c>
      <c r="E180" s="13">
        <v>0</v>
      </c>
      <c r="F180" s="13">
        <v>20</v>
      </c>
      <c r="G180" s="12">
        <f t="shared" si="4"/>
        <v>20</v>
      </c>
      <c r="H180" s="13" t="s">
        <v>182</v>
      </c>
      <c r="I180" s="11" t="s">
        <v>209</v>
      </c>
      <c r="J180" s="13" t="s">
        <v>210</v>
      </c>
      <c r="K180" s="13" t="s">
        <v>419</v>
      </c>
      <c r="N180" s="11" t="s">
        <v>189</v>
      </c>
      <c r="Q180" s="14" t="s">
        <v>464</v>
      </c>
    </row>
    <row r="181" spans="1:17" x14ac:dyDescent="0.2">
      <c r="A181" s="10">
        <v>46125</v>
      </c>
      <c r="B181" s="11" t="s">
        <v>234</v>
      </c>
      <c r="C181" s="11">
        <v>21</v>
      </c>
      <c r="D181" s="13">
        <v>30</v>
      </c>
      <c r="E181" s="13">
        <v>23</v>
      </c>
      <c r="F181" s="13">
        <v>0</v>
      </c>
      <c r="G181" s="12">
        <f t="shared" si="4"/>
        <v>90</v>
      </c>
      <c r="H181" s="13" t="s">
        <v>225</v>
      </c>
      <c r="I181" s="11" t="s">
        <v>183</v>
      </c>
      <c r="J181" s="13" t="s">
        <v>184</v>
      </c>
      <c r="K181" s="13" t="s">
        <v>465</v>
      </c>
      <c r="N181" s="11" t="s">
        <v>179</v>
      </c>
      <c r="Q181" s="14" t="s">
        <v>466</v>
      </c>
    </row>
    <row r="182" spans="1:17" x14ac:dyDescent="0.2">
      <c r="A182" s="10">
        <v>46126</v>
      </c>
      <c r="B182" s="11" t="s">
        <v>241</v>
      </c>
      <c r="C182" s="11">
        <v>22</v>
      </c>
      <c r="D182" s="13">
        <v>0</v>
      </c>
      <c r="E182" s="13">
        <v>22</v>
      </c>
      <c r="F182" s="13">
        <v>45</v>
      </c>
      <c r="G182" s="12">
        <f t="shared" si="4"/>
        <v>45</v>
      </c>
      <c r="H182" s="13" t="s">
        <v>295</v>
      </c>
      <c r="I182" s="11" t="s">
        <v>209</v>
      </c>
      <c r="J182" s="13" t="s">
        <v>210</v>
      </c>
      <c r="K182" s="13" t="s">
        <v>467</v>
      </c>
      <c r="N182" s="11" t="s">
        <v>179</v>
      </c>
    </row>
    <row r="183" spans="1:17" x14ac:dyDescent="0.2">
      <c r="C183" s="11">
        <v>23</v>
      </c>
      <c r="D183" s="13">
        <v>15</v>
      </c>
      <c r="E183" s="13">
        <v>23</v>
      </c>
      <c r="F183" s="13">
        <v>45</v>
      </c>
      <c r="G183" s="12">
        <f t="shared" si="4"/>
        <v>30</v>
      </c>
      <c r="H183" s="13" t="s">
        <v>182</v>
      </c>
      <c r="I183" s="11" t="s">
        <v>209</v>
      </c>
      <c r="J183" s="13" t="s">
        <v>215</v>
      </c>
      <c r="K183" s="13" t="s">
        <v>468</v>
      </c>
      <c r="N183" s="11" t="s">
        <v>189</v>
      </c>
      <c r="Q183" s="14" t="s">
        <v>469</v>
      </c>
    </row>
    <row r="184" spans="1:17" x14ac:dyDescent="0.2">
      <c r="A184" s="10">
        <v>46128</v>
      </c>
      <c r="B184" s="11" t="s">
        <v>214</v>
      </c>
      <c r="C184" s="11">
        <v>22</v>
      </c>
      <c r="D184" s="13">
        <v>15</v>
      </c>
      <c r="E184" s="13">
        <v>23</v>
      </c>
      <c r="F184" s="13">
        <v>0</v>
      </c>
      <c r="G184" s="12">
        <f t="shared" si="4"/>
        <v>45</v>
      </c>
      <c r="H184" s="13" t="s">
        <v>295</v>
      </c>
      <c r="I184" s="11" t="s">
        <v>209</v>
      </c>
      <c r="J184" s="13" t="s">
        <v>210</v>
      </c>
      <c r="K184" s="13" t="s">
        <v>467</v>
      </c>
      <c r="N184" s="11" t="s">
        <v>189</v>
      </c>
    </row>
    <row r="185" spans="1:17" x14ac:dyDescent="0.2">
      <c r="C185" s="11">
        <v>23</v>
      </c>
      <c r="D185" s="13">
        <v>25</v>
      </c>
      <c r="E185" s="13">
        <v>23</v>
      </c>
      <c r="F185" s="13">
        <v>55</v>
      </c>
      <c r="G185" s="12">
        <f t="shared" si="4"/>
        <v>30</v>
      </c>
    </row>
    <row r="186" spans="1:17" x14ac:dyDescent="0.2">
      <c r="B186" s="11" t="s">
        <v>222</v>
      </c>
      <c r="C186" s="11">
        <v>0</v>
      </c>
      <c r="D186" s="13">
        <v>0</v>
      </c>
      <c r="E186" s="13">
        <v>0</v>
      </c>
      <c r="F186" s="13">
        <v>25</v>
      </c>
      <c r="G186" s="12">
        <f t="shared" si="4"/>
        <v>25</v>
      </c>
      <c r="H186" s="13" t="s">
        <v>182</v>
      </c>
      <c r="I186" s="11" t="s">
        <v>209</v>
      </c>
      <c r="J186" s="13" t="s">
        <v>470</v>
      </c>
      <c r="K186" s="13" t="s">
        <v>447</v>
      </c>
      <c r="N186" s="11" t="s">
        <v>189</v>
      </c>
      <c r="Q186" s="14" t="s">
        <v>471</v>
      </c>
    </row>
    <row r="187" spans="1:17" x14ac:dyDescent="0.2">
      <c r="A187" s="10">
        <v>46129</v>
      </c>
      <c r="B187" s="11" t="s">
        <v>222</v>
      </c>
      <c r="C187" s="11">
        <v>21</v>
      </c>
      <c r="D187" s="13">
        <v>0</v>
      </c>
      <c r="E187" s="13">
        <v>23</v>
      </c>
      <c r="F187" s="13">
        <v>55</v>
      </c>
      <c r="G187" s="12">
        <f t="shared" si="4"/>
        <v>175</v>
      </c>
      <c r="H187" s="13" t="s">
        <v>182</v>
      </c>
      <c r="I187" s="11" t="s">
        <v>209</v>
      </c>
      <c r="J187" s="13" t="s">
        <v>215</v>
      </c>
      <c r="N187" s="11" t="s">
        <v>189</v>
      </c>
    </row>
    <row r="188" spans="1:17" x14ac:dyDescent="0.2">
      <c r="C188" s="11">
        <v>0</v>
      </c>
      <c r="D188" s="13">
        <v>0</v>
      </c>
      <c r="E188" s="13">
        <v>0</v>
      </c>
      <c r="F188" s="13">
        <v>45</v>
      </c>
      <c r="G188" s="12">
        <f t="shared" si="4"/>
        <v>45</v>
      </c>
    </row>
    <row r="189" spans="1:17" x14ac:dyDescent="0.2">
      <c r="A189" s="10">
        <v>46131</v>
      </c>
      <c r="B189" s="11" t="s">
        <v>192</v>
      </c>
      <c r="C189" s="11">
        <v>15</v>
      </c>
      <c r="D189" s="13">
        <v>0</v>
      </c>
      <c r="E189" s="13">
        <v>15</v>
      </c>
      <c r="F189" s="13">
        <v>50</v>
      </c>
      <c r="G189" s="12">
        <f t="shared" si="4"/>
        <v>50</v>
      </c>
      <c r="H189" s="13" t="s">
        <v>359</v>
      </c>
      <c r="I189" s="11" t="s">
        <v>209</v>
      </c>
      <c r="J189" s="13" t="s">
        <v>215</v>
      </c>
      <c r="N189" s="11" t="s">
        <v>189</v>
      </c>
      <c r="Q189" s="14" t="s">
        <v>472</v>
      </c>
    </row>
    <row r="190" spans="1:17" x14ac:dyDescent="0.2">
      <c r="C190" s="11">
        <v>16</v>
      </c>
      <c r="D190" s="13">
        <v>30</v>
      </c>
      <c r="E190" s="13">
        <v>17</v>
      </c>
      <c r="F190" s="13">
        <v>45</v>
      </c>
      <c r="G190" s="12">
        <f t="shared" si="4"/>
        <v>75</v>
      </c>
      <c r="H190" s="13" t="s">
        <v>182</v>
      </c>
      <c r="I190" s="11" t="s">
        <v>209</v>
      </c>
      <c r="J190" s="13" t="s">
        <v>215</v>
      </c>
      <c r="K190" s="13" t="s">
        <v>419</v>
      </c>
      <c r="N190" s="11" t="s">
        <v>189</v>
      </c>
      <c r="Q190" s="14" t="s">
        <v>473</v>
      </c>
    </row>
    <row r="191" spans="1:17" x14ac:dyDescent="0.2">
      <c r="C191" s="11">
        <v>19</v>
      </c>
      <c r="D191" s="13">
        <v>0</v>
      </c>
      <c r="E191" s="13">
        <v>21</v>
      </c>
      <c r="F191" s="13">
        <v>0</v>
      </c>
      <c r="G191" s="12">
        <f t="shared" si="4"/>
        <v>120</v>
      </c>
      <c r="H191" s="13" t="s">
        <v>182</v>
      </c>
      <c r="I191" s="11" t="s">
        <v>209</v>
      </c>
      <c r="J191" s="13" t="s">
        <v>215</v>
      </c>
      <c r="K191" s="13" t="s">
        <v>185</v>
      </c>
      <c r="N191" s="11" t="s">
        <v>189</v>
      </c>
      <c r="Q191" s="14" t="s">
        <v>474</v>
      </c>
    </row>
    <row r="192" spans="1:17" x14ac:dyDescent="0.2">
      <c r="C192" s="11">
        <v>21</v>
      </c>
      <c r="D192" s="13">
        <v>35</v>
      </c>
      <c r="E192" s="13">
        <v>22</v>
      </c>
      <c r="F192" s="13">
        <v>0</v>
      </c>
      <c r="G192" s="12">
        <f t="shared" si="4"/>
        <v>25</v>
      </c>
      <c r="H192" s="13" t="s">
        <v>229</v>
      </c>
      <c r="I192" s="11" t="s">
        <v>183</v>
      </c>
      <c r="J192" s="13" t="s">
        <v>205</v>
      </c>
      <c r="N192" s="11" t="s">
        <v>179</v>
      </c>
      <c r="Q192" s="14" t="s">
        <v>475</v>
      </c>
    </row>
    <row r="193" spans="1:17" x14ac:dyDescent="0.2">
      <c r="A193" s="10">
        <v>46132</v>
      </c>
      <c r="B193" s="11" t="s">
        <v>234</v>
      </c>
      <c r="C193" s="11">
        <v>23</v>
      </c>
      <c r="D193" s="13">
        <v>30</v>
      </c>
      <c r="E193" s="13">
        <v>23</v>
      </c>
      <c r="F193" s="13">
        <v>55</v>
      </c>
      <c r="G193" s="12">
        <f t="shared" si="4"/>
        <v>25</v>
      </c>
    </row>
    <row r="194" spans="1:17" x14ac:dyDescent="0.2">
      <c r="C194" s="11">
        <v>0</v>
      </c>
      <c r="D194" s="13">
        <v>0</v>
      </c>
      <c r="E194" s="13">
        <v>0</v>
      </c>
      <c r="F194" s="13">
        <v>50</v>
      </c>
      <c r="G194" s="12">
        <f t="shared" si="4"/>
        <v>50</v>
      </c>
      <c r="H194" s="13" t="s">
        <v>237</v>
      </c>
      <c r="I194" s="11" t="s">
        <v>209</v>
      </c>
      <c r="J194" s="13" t="s">
        <v>210</v>
      </c>
      <c r="K194" s="13" t="s">
        <v>361</v>
      </c>
      <c r="N194" s="11" t="s">
        <v>189</v>
      </c>
      <c r="Q194" s="14" t="s">
        <v>476</v>
      </c>
    </row>
    <row r="195" spans="1:17" x14ac:dyDescent="0.2">
      <c r="C195" s="11">
        <v>0</v>
      </c>
      <c r="D195" s="13">
        <v>50</v>
      </c>
      <c r="E195" s="13">
        <v>1</v>
      </c>
      <c r="F195" s="13">
        <v>30</v>
      </c>
      <c r="G195" s="12">
        <f t="shared" si="4"/>
        <v>40</v>
      </c>
      <c r="H195" s="13" t="s">
        <v>295</v>
      </c>
      <c r="I195" s="11" t="s">
        <v>209</v>
      </c>
      <c r="J195" s="13" t="s">
        <v>215</v>
      </c>
      <c r="K195" s="13" t="s">
        <v>467</v>
      </c>
      <c r="N195" s="11" t="s">
        <v>189</v>
      </c>
      <c r="Q195" s="14" t="s">
        <v>477</v>
      </c>
    </row>
    <row r="196" spans="1:17" x14ac:dyDescent="0.2">
      <c r="A196" s="10">
        <v>46134</v>
      </c>
      <c r="B196" s="11" t="s">
        <v>200</v>
      </c>
      <c r="C196" s="11">
        <v>0</v>
      </c>
      <c r="D196" s="13">
        <v>0</v>
      </c>
      <c r="E196" s="13">
        <v>1</v>
      </c>
      <c r="F196" s="13">
        <v>15</v>
      </c>
      <c r="G196" s="12">
        <f t="shared" si="4"/>
        <v>75</v>
      </c>
      <c r="H196" s="13" t="s">
        <v>295</v>
      </c>
      <c r="I196" s="11" t="s">
        <v>183</v>
      </c>
      <c r="J196" s="13" t="s">
        <v>184</v>
      </c>
      <c r="K196" s="13" t="s">
        <v>467</v>
      </c>
      <c r="N196" s="11" t="s">
        <v>179</v>
      </c>
      <c r="Q196" s="14" t="s">
        <v>478</v>
      </c>
    </row>
    <row r="197" spans="1:17" x14ac:dyDescent="0.2">
      <c r="C197" s="11">
        <v>1</v>
      </c>
      <c r="D197" s="13">
        <v>20</v>
      </c>
      <c r="E197" s="13">
        <v>2</v>
      </c>
      <c r="F197" s="13">
        <v>20</v>
      </c>
      <c r="G197" s="12">
        <f t="shared" si="4"/>
        <v>60</v>
      </c>
      <c r="H197" s="13" t="s">
        <v>237</v>
      </c>
      <c r="I197" s="13" t="s">
        <v>183</v>
      </c>
      <c r="J197" s="13" t="s">
        <v>184</v>
      </c>
      <c r="K197" s="13" t="s">
        <v>361</v>
      </c>
      <c r="N197" s="11" t="s">
        <v>189</v>
      </c>
      <c r="Q197" s="14" t="s">
        <v>479</v>
      </c>
    </row>
    <row r="198" spans="1:17" x14ac:dyDescent="0.2">
      <c r="A198" s="10">
        <v>46135</v>
      </c>
      <c r="B198" s="11" t="s">
        <v>214</v>
      </c>
      <c r="C198" s="11">
        <v>23</v>
      </c>
      <c r="D198" s="13">
        <v>0</v>
      </c>
      <c r="E198" s="13">
        <v>23</v>
      </c>
      <c r="F198" s="13">
        <v>55</v>
      </c>
      <c r="G198" s="12">
        <f t="shared" si="4"/>
        <v>55</v>
      </c>
    </row>
    <row r="199" spans="1:17" x14ac:dyDescent="0.2">
      <c r="C199" s="11">
        <v>0</v>
      </c>
      <c r="D199" s="13">
        <v>0</v>
      </c>
      <c r="E199" s="13">
        <v>1</v>
      </c>
      <c r="F199" s="13">
        <v>10</v>
      </c>
      <c r="G199" s="12">
        <f t="shared" si="4"/>
        <v>70</v>
      </c>
      <c r="H199" s="13" t="s">
        <v>182</v>
      </c>
      <c r="I199" s="11" t="s">
        <v>209</v>
      </c>
      <c r="J199" s="13" t="s">
        <v>215</v>
      </c>
      <c r="K199" s="13" t="s">
        <v>447</v>
      </c>
    </row>
    <row r="200" spans="1:17" x14ac:dyDescent="0.2">
      <c r="C200" s="11">
        <v>1</v>
      </c>
      <c r="D200" s="13">
        <v>10</v>
      </c>
      <c r="E200" s="13">
        <v>2</v>
      </c>
      <c r="F200" s="13">
        <v>5</v>
      </c>
      <c r="G200" s="12">
        <f t="shared" si="4"/>
        <v>55</v>
      </c>
      <c r="H200" s="13" t="s">
        <v>225</v>
      </c>
      <c r="I200" s="11" t="s">
        <v>183</v>
      </c>
      <c r="J200" s="13" t="s">
        <v>184</v>
      </c>
      <c r="N200" s="11" t="s">
        <v>179</v>
      </c>
      <c r="Q200" s="14" t="s">
        <v>480</v>
      </c>
    </row>
    <row r="201" spans="1:17" x14ac:dyDescent="0.2">
      <c r="A201" s="10">
        <v>46136</v>
      </c>
      <c r="B201" s="11" t="s">
        <v>222</v>
      </c>
      <c r="C201" s="11">
        <v>21</v>
      </c>
      <c r="D201" s="13">
        <v>5</v>
      </c>
      <c r="E201" s="13">
        <v>23</v>
      </c>
      <c r="F201" s="13">
        <v>55</v>
      </c>
      <c r="G201" s="12">
        <f t="shared" si="4"/>
        <v>170</v>
      </c>
    </row>
    <row r="202" spans="1:17" x14ac:dyDescent="0.2">
      <c r="C202" s="11">
        <v>0</v>
      </c>
      <c r="D202" s="13">
        <v>0</v>
      </c>
      <c r="E202" s="13">
        <v>0</v>
      </c>
      <c r="F202" s="13">
        <v>40</v>
      </c>
      <c r="G202" s="12">
        <f t="shared" si="4"/>
        <v>40</v>
      </c>
      <c r="H202" s="13" t="s">
        <v>359</v>
      </c>
      <c r="N202" s="11" t="s">
        <v>189</v>
      </c>
      <c r="Q202" s="14" t="s">
        <v>481</v>
      </c>
    </row>
    <row r="203" spans="1:17" x14ac:dyDescent="0.2">
      <c r="C203" s="11">
        <v>1</v>
      </c>
      <c r="D203" s="13">
        <v>0</v>
      </c>
      <c r="E203" s="13">
        <v>2</v>
      </c>
      <c r="F203" s="13">
        <v>0</v>
      </c>
      <c r="G203" s="12">
        <f t="shared" si="4"/>
        <v>60</v>
      </c>
      <c r="H203" s="13" t="s">
        <v>229</v>
      </c>
      <c r="I203" s="11" t="s">
        <v>183</v>
      </c>
      <c r="J203" s="13" t="s">
        <v>184</v>
      </c>
      <c r="N203" s="11" t="s">
        <v>179</v>
      </c>
      <c r="O203" s="13" t="s">
        <v>188</v>
      </c>
      <c r="Q203" s="14" t="s">
        <v>482</v>
      </c>
    </row>
    <row r="204" spans="1:17" x14ac:dyDescent="0.2">
      <c r="A204" s="10">
        <v>46140</v>
      </c>
      <c r="B204" s="11" t="s">
        <v>241</v>
      </c>
      <c r="C204" s="11">
        <v>22</v>
      </c>
      <c r="D204" s="13">
        <v>30</v>
      </c>
      <c r="E204" s="13">
        <v>23</v>
      </c>
      <c r="F204" s="13">
        <v>55</v>
      </c>
      <c r="G204" s="12">
        <f t="shared" si="4"/>
        <v>85</v>
      </c>
      <c r="H204" s="13" t="s">
        <v>359</v>
      </c>
      <c r="I204" s="11" t="s">
        <v>204</v>
      </c>
      <c r="J204" s="13" t="s">
        <v>205</v>
      </c>
      <c r="K204" s="13" t="s">
        <v>369</v>
      </c>
      <c r="N204" s="11" t="s">
        <v>189</v>
      </c>
      <c r="Q204" s="14" t="s">
        <v>483</v>
      </c>
    </row>
    <row r="205" spans="1:17" x14ac:dyDescent="0.2">
      <c r="C205" s="11">
        <v>0</v>
      </c>
      <c r="D205" s="13">
        <v>0</v>
      </c>
      <c r="E205" s="13">
        <v>0</v>
      </c>
      <c r="F205" s="13">
        <v>30</v>
      </c>
      <c r="G205" s="12">
        <f t="shared" si="4"/>
        <v>30</v>
      </c>
      <c r="H205" s="13" t="s">
        <v>295</v>
      </c>
      <c r="I205" s="11" t="s">
        <v>209</v>
      </c>
      <c r="J205" s="13" t="s">
        <v>210</v>
      </c>
      <c r="K205" s="13" t="s">
        <v>467</v>
      </c>
      <c r="N205" s="11" t="s">
        <v>189</v>
      </c>
      <c r="Q205" s="14" t="s">
        <v>484</v>
      </c>
    </row>
    <row r="206" spans="1:17" x14ac:dyDescent="0.2">
      <c r="C206" s="11">
        <v>0</v>
      </c>
      <c r="D206" s="13">
        <v>30</v>
      </c>
      <c r="E206" s="13">
        <v>2</v>
      </c>
      <c r="F206" s="13">
        <v>30</v>
      </c>
      <c r="G206" s="12">
        <f t="shared" si="4"/>
        <v>120</v>
      </c>
      <c r="H206" s="13" t="s">
        <v>182</v>
      </c>
      <c r="I206" s="11" t="s">
        <v>209</v>
      </c>
      <c r="J206" s="13" t="s">
        <v>215</v>
      </c>
    </row>
    <row r="207" spans="1:17" x14ac:dyDescent="0.2">
      <c r="B207" s="11" t="s">
        <v>200</v>
      </c>
      <c r="C207" s="11">
        <v>16</v>
      </c>
      <c r="D207" s="13">
        <v>40</v>
      </c>
      <c r="E207" s="13">
        <v>18</v>
      </c>
      <c r="F207" s="13">
        <v>10</v>
      </c>
      <c r="G207" s="12">
        <f t="shared" si="4"/>
        <v>90</v>
      </c>
      <c r="H207" s="13" t="s">
        <v>182</v>
      </c>
      <c r="I207" s="11" t="s">
        <v>209</v>
      </c>
      <c r="J207" s="13" t="s">
        <v>215</v>
      </c>
      <c r="N207" s="11" t="s">
        <v>189</v>
      </c>
      <c r="Q207" s="14" t="s">
        <v>485</v>
      </c>
    </row>
    <row r="208" spans="1:17" x14ac:dyDescent="0.2">
      <c r="C208" s="11">
        <v>21</v>
      </c>
      <c r="D208" s="13">
        <v>30</v>
      </c>
      <c r="E208" s="13">
        <v>23</v>
      </c>
      <c r="F208" s="13">
        <v>55</v>
      </c>
      <c r="G208" s="12">
        <f t="shared" si="4"/>
        <v>145</v>
      </c>
      <c r="H208" s="13" t="s">
        <v>182</v>
      </c>
      <c r="I208" s="11" t="s">
        <v>209</v>
      </c>
      <c r="J208" s="13" t="s">
        <v>215</v>
      </c>
      <c r="N208" s="11" t="s">
        <v>189</v>
      </c>
      <c r="Q208" s="14" t="s">
        <v>486</v>
      </c>
    </row>
    <row r="209" spans="1:17" x14ac:dyDescent="0.2">
      <c r="B209" s="11" t="s">
        <v>214</v>
      </c>
      <c r="C209" s="11">
        <v>0</v>
      </c>
      <c r="D209" s="13">
        <v>0</v>
      </c>
      <c r="E209" s="13">
        <v>0</v>
      </c>
      <c r="F209" s="13">
        <v>30</v>
      </c>
      <c r="G209" s="12">
        <f t="shared" si="4"/>
        <v>30</v>
      </c>
      <c r="H209" s="13" t="s">
        <v>208</v>
      </c>
      <c r="I209" s="11" t="s">
        <v>183</v>
      </c>
      <c r="J209" s="13" t="s">
        <v>184</v>
      </c>
      <c r="N209" s="11" t="s">
        <v>179</v>
      </c>
      <c r="Q209" s="14" t="s">
        <v>487</v>
      </c>
    </row>
    <row r="210" spans="1:17" x14ac:dyDescent="0.2">
      <c r="A210" s="10">
        <v>46144</v>
      </c>
      <c r="B210" s="11" t="s">
        <v>177</v>
      </c>
      <c r="C210" s="11">
        <v>19</v>
      </c>
      <c r="D210" s="13">
        <v>0</v>
      </c>
      <c r="E210" s="13">
        <v>21</v>
      </c>
      <c r="F210" s="13">
        <v>15</v>
      </c>
      <c r="G210" s="12">
        <f t="shared" si="4"/>
        <v>135</v>
      </c>
      <c r="H210" s="13" t="s">
        <v>359</v>
      </c>
      <c r="I210" s="11" t="s">
        <v>209</v>
      </c>
      <c r="J210" s="13" t="s">
        <v>215</v>
      </c>
      <c r="N210" s="11" t="s">
        <v>189</v>
      </c>
      <c r="Q210" s="14" t="s">
        <v>488</v>
      </c>
    </row>
    <row r="211" spans="1:17" x14ac:dyDescent="0.2">
      <c r="C211" s="11">
        <v>22</v>
      </c>
      <c r="D211" s="13">
        <v>15</v>
      </c>
      <c r="E211" s="13">
        <v>23</v>
      </c>
      <c r="F211" s="13">
        <v>55</v>
      </c>
      <c r="G211" s="12">
        <f t="shared" si="4"/>
        <v>100</v>
      </c>
    </row>
    <row r="212" spans="1:17" x14ac:dyDescent="0.2">
      <c r="A212" s="10">
        <v>46145</v>
      </c>
      <c r="B212" s="11" t="s">
        <v>192</v>
      </c>
      <c r="C212" s="11">
        <v>0</v>
      </c>
      <c r="D212" s="13">
        <v>0</v>
      </c>
      <c r="E212" s="13">
        <v>0</v>
      </c>
      <c r="F212" s="13">
        <v>30</v>
      </c>
      <c r="G212" s="12">
        <f t="shared" si="4"/>
        <v>30</v>
      </c>
      <c r="H212" s="13" t="s">
        <v>359</v>
      </c>
      <c r="I212" s="11" t="s">
        <v>204</v>
      </c>
      <c r="J212" s="13" t="s">
        <v>205</v>
      </c>
      <c r="Q212" s="14" t="s">
        <v>489</v>
      </c>
    </row>
    <row r="213" spans="1:17" x14ac:dyDescent="0.2">
      <c r="C213" s="11">
        <v>0</v>
      </c>
      <c r="D213" s="13">
        <v>50</v>
      </c>
      <c r="E213" s="13">
        <v>1</v>
      </c>
      <c r="F213" s="13">
        <v>50</v>
      </c>
      <c r="G213" s="12">
        <f t="shared" si="4"/>
        <v>60</v>
      </c>
      <c r="H213" s="13" t="s">
        <v>225</v>
      </c>
      <c r="I213" s="11" t="s">
        <v>209</v>
      </c>
      <c r="J213" s="13" t="s">
        <v>210</v>
      </c>
      <c r="N213" s="11" t="s">
        <v>189</v>
      </c>
      <c r="Q213" s="14" t="s">
        <v>490</v>
      </c>
    </row>
    <row r="214" spans="1:17" x14ac:dyDescent="0.2">
      <c r="C214" s="11">
        <v>15</v>
      </c>
      <c r="D214" s="13">
        <v>30</v>
      </c>
      <c r="E214" s="13">
        <v>16</v>
      </c>
      <c r="F214" s="13">
        <v>30</v>
      </c>
      <c r="G214" s="12">
        <f t="shared" si="4"/>
        <v>60</v>
      </c>
      <c r="H214" s="13" t="s">
        <v>182</v>
      </c>
      <c r="I214" s="11" t="s">
        <v>183</v>
      </c>
      <c r="J214" s="13" t="s">
        <v>184</v>
      </c>
      <c r="N214" s="11" t="s">
        <v>179</v>
      </c>
      <c r="Q214" s="14" t="s">
        <v>491</v>
      </c>
    </row>
    <row r="215" spans="1:17" x14ac:dyDescent="0.2">
      <c r="C215" s="11">
        <v>16</v>
      </c>
      <c r="D215" s="13">
        <v>45</v>
      </c>
      <c r="E215" s="13">
        <v>20</v>
      </c>
      <c r="F215" s="13">
        <v>15</v>
      </c>
      <c r="G215" s="12">
        <f t="shared" si="4"/>
        <v>210</v>
      </c>
      <c r="H215" s="13" t="s">
        <v>182</v>
      </c>
      <c r="I215" s="11" t="s">
        <v>209</v>
      </c>
      <c r="J215" s="13" t="s">
        <v>215</v>
      </c>
      <c r="N215" s="11" t="s">
        <v>189</v>
      </c>
      <c r="Q215" s="14" t="s">
        <v>492</v>
      </c>
    </row>
    <row r="216" spans="1:17" x14ac:dyDescent="0.2">
      <c r="C216" s="11">
        <v>22</v>
      </c>
      <c r="D216" s="13">
        <v>20</v>
      </c>
      <c r="E216" s="13">
        <v>23</v>
      </c>
      <c r="F216" s="13">
        <v>20</v>
      </c>
      <c r="G216" s="12">
        <f t="shared" si="4"/>
        <v>60</v>
      </c>
      <c r="H216" s="13" t="s">
        <v>182</v>
      </c>
      <c r="I216" s="11" t="s">
        <v>204</v>
      </c>
      <c r="J216" s="13" t="s">
        <v>231</v>
      </c>
      <c r="Q216" s="14" t="s">
        <v>493</v>
      </c>
    </row>
    <row r="217" spans="1:17" x14ac:dyDescent="0.2">
      <c r="C217" s="11">
        <v>23</v>
      </c>
      <c r="D217" s="13">
        <v>40</v>
      </c>
      <c r="E217" s="13">
        <v>23</v>
      </c>
      <c r="F217" s="13">
        <v>55</v>
      </c>
      <c r="G217" s="12">
        <f t="shared" si="4"/>
        <v>15</v>
      </c>
    </row>
    <row r="218" spans="1:17" x14ac:dyDescent="0.2">
      <c r="C218" s="11">
        <v>0</v>
      </c>
      <c r="D218" s="13">
        <v>0</v>
      </c>
      <c r="E218" s="13">
        <v>1</v>
      </c>
      <c r="F218" s="13">
        <v>0</v>
      </c>
      <c r="G218" s="12">
        <f t="shared" si="4"/>
        <v>60</v>
      </c>
      <c r="H218" s="13" t="s">
        <v>225</v>
      </c>
      <c r="I218" s="11" t="s">
        <v>209</v>
      </c>
      <c r="J218" s="13" t="s">
        <v>210</v>
      </c>
      <c r="N218" s="11" t="s">
        <v>189</v>
      </c>
      <c r="Q218" s="14" t="s">
        <v>494</v>
      </c>
    </row>
    <row r="219" spans="1:17" x14ac:dyDescent="0.2">
      <c r="C219" s="11">
        <v>1</v>
      </c>
      <c r="D219" s="13">
        <v>0</v>
      </c>
      <c r="E219" s="13">
        <v>1</v>
      </c>
      <c r="F219" s="13">
        <v>45</v>
      </c>
      <c r="G219" s="12">
        <f t="shared" si="4"/>
        <v>45</v>
      </c>
      <c r="H219" s="13" t="s">
        <v>225</v>
      </c>
      <c r="I219" s="11" t="s">
        <v>204</v>
      </c>
      <c r="J219" s="13" t="s">
        <v>223</v>
      </c>
      <c r="N219" s="11" t="s">
        <v>189</v>
      </c>
      <c r="Q219" s="14" t="s">
        <v>495</v>
      </c>
    </row>
    <row r="220" spans="1:17" x14ac:dyDescent="0.2">
      <c r="A220" s="10">
        <v>46146</v>
      </c>
      <c r="B220" s="11" t="s">
        <v>241</v>
      </c>
      <c r="C220" s="11">
        <v>22</v>
      </c>
      <c r="D220" s="13">
        <v>30</v>
      </c>
      <c r="E220" s="13">
        <v>23</v>
      </c>
      <c r="F220" s="13">
        <v>55</v>
      </c>
      <c r="G220" s="12">
        <f t="shared" si="4"/>
        <v>85</v>
      </c>
      <c r="H220" s="13" t="s">
        <v>225</v>
      </c>
      <c r="I220" s="11" t="s">
        <v>209</v>
      </c>
      <c r="J220" s="13" t="s">
        <v>210</v>
      </c>
      <c r="N220" s="11" t="s">
        <v>189</v>
      </c>
      <c r="Q220" s="14" t="s">
        <v>496</v>
      </c>
    </row>
    <row r="221" spans="1:17" x14ac:dyDescent="0.2">
      <c r="C221" s="11">
        <v>0</v>
      </c>
      <c r="D221" s="13">
        <v>0</v>
      </c>
      <c r="E221" s="13">
        <v>1</v>
      </c>
      <c r="F221" s="13">
        <v>0</v>
      </c>
      <c r="G221" s="12">
        <f t="shared" si="4"/>
        <v>60</v>
      </c>
      <c r="H221" s="13" t="s">
        <v>229</v>
      </c>
      <c r="I221" s="11" t="s">
        <v>209</v>
      </c>
      <c r="J221" s="13" t="s">
        <v>210</v>
      </c>
      <c r="N221" s="11" t="s">
        <v>189</v>
      </c>
      <c r="Q221" s="14" t="s">
        <v>497</v>
      </c>
    </row>
    <row r="222" spans="1:17" x14ac:dyDescent="0.2">
      <c r="A222" s="10">
        <v>46150</v>
      </c>
      <c r="B222" s="11" t="s">
        <v>222</v>
      </c>
      <c r="C222" s="11">
        <v>20</v>
      </c>
      <c r="D222" s="13">
        <v>0</v>
      </c>
      <c r="E222" s="13">
        <v>21</v>
      </c>
      <c r="F222" s="13">
        <v>0</v>
      </c>
      <c r="G222" s="12">
        <f t="shared" ref="G222:G238" si="5">E222*60+F222-C222*60-D222</f>
        <v>60</v>
      </c>
      <c r="H222" s="13" t="s">
        <v>237</v>
      </c>
      <c r="I222" s="11" t="s">
        <v>209</v>
      </c>
      <c r="J222" s="13" t="s">
        <v>210</v>
      </c>
      <c r="N222" s="11" t="s">
        <v>189</v>
      </c>
      <c r="Q222" s="14" t="s">
        <v>498</v>
      </c>
    </row>
    <row r="223" spans="1:17" x14ac:dyDescent="0.2">
      <c r="C223" s="11">
        <v>21</v>
      </c>
      <c r="D223" s="13">
        <v>15</v>
      </c>
      <c r="E223" s="13">
        <v>22</v>
      </c>
      <c r="F223" s="13">
        <v>0</v>
      </c>
      <c r="G223" s="12">
        <f t="shared" si="5"/>
        <v>45</v>
      </c>
      <c r="H223" s="13" t="s">
        <v>229</v>
      </c>
      <c r="I223" s="11" t="s">
        <v>209</v>
      </c>
      <c r="J223" s="13" t="s">
        <v>210</v>
      </c>
      <c r="N223" s="11" t="s">
        <v>179</v>
      </c>
      <c r="Q223" s="14" t="s">
        <v>499</v>
      </c>
    </row>
    <row r="224" spans="1:17" x14ac:dyDescent="0.2">
      <c r="C224" s="11">
        <v>22</v>
      </c>
      <c r="D224" s="13">
        <v>0</v>
      </c>
      <c r="E224" s="13">
        <v>23</v>
      </c>
      <c r="F224" s="13">
        <v>0</v>
      </c>
      <c r="G224" s="12">
        <f t="shared" si="5"/>
        <v>60</v>
      </c>
      <c r="H224" s="13" t="s">
        <v>182</v>
      </c>
      <c r="I224" s="11" t="s">
        <v>209</v>
      </c>
      <c r="J224" s="13" t="s">
        <v>215</v>
      </c>
      <c r="N224" s="11" t="s">
        <v>189</v>
      </c>
      <c r="Q224" s="14" t="s">
        <v>500</v>
      </c>
    </row>
    <row r="225" spans="1:17" x14ac:dyDescent="0.2">
      <c r="C225" s="11">
        <v>23</v>
      </c>
      <c r="D225" s="13">
        <v>0</v>
      </c>
      <c r="E225" s="13">
        <v>23</v>
      </c>
      <c r="F225" s="13">
        <v>55</v>
      </c>
      <c r="G225" s="12">
        <f t="shared" si="5"/>
        <v>55</v>
      </c>
      <c r="H225" s="13" t="s">
        <v>359</v>
      </c>
      <c r="I225" s="11" t="s">
        <v>204</v>
      </c>
      <c r="J225" s="13" t="s">
        <v>205</v>
      </c>
      <c r="N225" s="11" t="s">
        <v>189</v>
      </c>
      <c r="Q225" s="14" t="s">
        <v>501</v>
      </c>
    </row>
    <row r="226" spans="1:17" x14ac:dyDescent="0.2">
      <c r="A226" s="10">
        <v>46151</v>
      </c>
      <c r="B226" s="11" t="s">
        <v>177</v>
      </c>
      <c r="C226" s="11">
        <v>15</v>
      </c>
      <c r="D226" s="13">
        <v>0</v>
      </c>
      <c r="E226" s="13">
        <v>18</v>
      </c>
      <c r="F226" s="13">
        <v>30</v>
      </c>
      <c r="G226" s="12">
        <f t="shared" si="5"/>
        <v>210</v>
      </c>
      <c r="H226" s="13" t="s">
        <v>182</v>
      </c>
      <c r="I226" s="11" t="s">
        <v>209</v>
      </c>
      <c r="J226" s="13" t="s">
        <v>215</v>
      </c>
      <c r="N226" s="11" t="s">
        <v>189</v>
      </c>
      <c r="Q226" s="14" t="s">
        <v>502</v>
      </c>
    </row>
    <row r="227" spans="1:17" x14ac:dyDescent="0.2">
      <c r="C227" s="11">
        <v>19</v>
      </c>
      <c r="D227" s="13">
        <v>30</v>
      </c>
      <c r="E227" s="13">
        <v>21</v>
      </c>
      <c r="F227" s="13">
        <v>0</v>
      </c>
      <c r="G227" s="12">
        <f t="shared" si="5"/>
        <v>90</v>
      </c>
      <c r="H227" s="13" t="s">
        <v>182</v>
      </c>
      <c r="I227" s="11" t="s">
        <v>209</v>
      </c>
      <c r="J227" s="13" t="s">
        <v>215</v>
      </c>
      <c r="N227" s="11" t="s">
        <v>179</v>
      </c>
      <c r="Q227" s="14" t="s">
        <v>503</v>
      </c>
    </row>
    <row r="228" spans="1:17" x14ac:dyDescent="0.2">
      <c r="C228" s="11">
        <v>22</v>
      </c>
      <c r="D228" s="13">
        <v>30</v>
      </c>
      <c r="E228" s="13">
        <v>23</v>
      </c>
      <c r="F228" s="13">
        <v>30</v>
      </c>
      <c r="G228" s="12">
        <f t="shared" si="5"/>
        <v>60</v>
      </c>
      <c r="H228" s="13" t="s">
        <v>237</v>
      </c>
      <c r="I228" s="11" t="s">
        <v>209</v>
      </c>
      <c r="J228" s="13" t="s">
        <v>210</v>
      </c>
      <c r="N228" s="11" t="s">
        <v>189</v>
      </c>
      <c r="Q228" s="14" t="s">
        <v>504</v>
      </c>
    </row>
    <row r="229" spans="1:17" x14ac:dyDescent="0.2">
      <c r="C229" s="11">
        <v>23</v>
      </c>
      <c r="D229" s="13">
        <v>30</v>
      </c>
      <c r="E229" s="13">
        <v>23</v>
      </c>
      <c r="F229" s="13">
        <v>55</v>
      </c>
      <c r="G229" s="12">
        <f t="shared" si="5"/>
        <v>25</v>
      </c>
    </row>
    <row r="230" spans="1:17" x14ac:dyDescent="0.2">
      <c r="C230" s="11">
        <v>0</v>
      </c>
      <c r="D230" s="13">
        <v>0</v>
      </c>
      <c r="E230" s="13">
        <v>1</v>
      </c>
      <c r="F230" s="13">
        <v>30</v>
      </c>
      <c r="G230" s="12">
        <f t="shared" si="5"/>
        <v>90</v>
      </c>
      <c r="H230" s="13" t="s">
        <v>182</v>
      </c>
      <c r="I230" s="11" t="s">
        <v>209</v>
      </c>
      <c r="J230" s="13" t="s">
        <v>215</v>
      </c>
      <c r="N230" s="11" t="s">
        <v>189</v>
      </c>
      <c r="Q230" s="14" t="s">
        <v>505</v>
      </c>
    </row>
    <row r="231" spans="1:17" x14ac:dyDescent="0.2">
      <c r="A231" s="10">
        <v>46160</v>
      </c>
      <c r="B231" s="11" t="s">
        <v>234</v>
      </c>
      <c r="C231" s="11">
        <v>22</v>
      </c>
      <c r="D231" s="13">
        <v>45</v>
      </c>
      <c r="E231" s="13">
        <v>23</v>
      </c>
      <c r="F231" s="13">
        <v>55</v>
      </c>
      <c r="G231" s="12">
        <f t="shared" si="5"/>
        <v>70</v>
      </c>
      <c r="H231" s="13" t="s">
        <v>295</v>
      </c>
      <c r="I231" s="11" t="s">
        <v>183</v>
      </c>
      <c r="J231" s="13" t="s">
        <v>184</v>
      </c>
      <c r="N231" s="11" t="s">
        <v>179</v>
      </c>
      <c r="Q231" s="14" t="s">
        <v>506</v>
      </c>
    </row>
    <row r="232" spans="1:17" x14ac:dyDescent="0.2">
      <c r="C232" s="11">
        <v>0</v>
      </c>
      <c r="D232" s="13">
        <v>0</v>
      </c>
      <c r="E232" s="13">
        <v>1</v>
      </c>
      <c r="F232" s="13">
        <v>30</v>
      </c>
      <c r="G232" s="12">
        <f t="shared" si="5"/>
        <v>90</v>
      </c>
    </row>
    <row r="233" spans="1:17" x14ac:dyDescent="0.2">
      <c r="C233" s="11">
        <v>1</v>
      </c>
      <c r="D233" s="13">
        <v>30</v>
      </c>
      <c r="E233" s="13">
        <v>2</v>
      </c>
      <c r="F233" s="13">
        <v>20</v>
      </c>
      <c r="G233" s="12">
        <f t="shared" si="5"/>
        <v>50</v>
      </c>
      <c r="H233" s="13" t="s">
        <v>237</v>
      </c>
      <c r="I233" s="11" t="s">
        <v>183</v>
      </c>
      <c r="J233" s="13" t="s">
        <v>184</v>
      </c>
      <c r="N233" s="11" t="s">
        <v>179</v>
      </c>
      <c r="Q233" s="14" t="s">
        <v>507</v>
      </c>
    </row>
    <row r="234" spans="1:17" x14ac:dyDescent="0.2">
      <c r="A234" s="10">
        <v>46162</v>
      </c>
      <c r="B234" s="11" t="s">
        <v>200</v>
      </c>
      <c r="C234" s="11">
        <v>20</v>
      </c>
      <c r="D234" s="13">
        <v>0</v>
      </c>
      <c r="E234" s="13">
        <v>22</v>
      </c>
      <c r="F234" s="13">
        <v>0</v>
      </c>
      <c r="G234" s="12">
        <f t="shared" si="5"/>
        <v>120</v>
      </c>
      <c r="H234" s="13" t="s">
        <v>229</v>
      </c>
      <c r="I234" s="11" t="s">
        <v>204</v>
      </c>
      <c r="J234" s="13" t="s">
        <v>231</v>
      </c>
      <c r="N234" s="11" t="s">
        <v>179</v>
      </c>
      <c r="Q234" s="14" t="s">
        <v>508</v>
      </c>
    </row>
    <row r="235" spans="1:17" x14ac:dyDescent="0.2">
      <c r="C235" s="11">
        <v>22</v>
      </c>
      <c r="D235" s="13">
        <v>30</v>
      </c>
      <c r="E235" s="13">
        <v>23</v>
      </c>
      <c r="F235" s="13">
        <v>55</v>
      </c>
      <c r="G235" s="12">
        <f t="shared" si="5"/>
        <v>85</v>
      </c>
      <c r="H235" s="13" t="s">
        <v>295</v>
      </c>
      <c r="I235" s="11" t="s">
        <v>183</v>
      </c>
      <c r="J235" s="13" t="s">
        <v>184</v>
      </c>
      <c r="N235" s="11" t="s">
        <v>179</v>
      </c>
      <c r="O235" s="13" t="s">
        <v>188</v>
      </c>
      <c r="Q235" s="14" t="s">
        <v>509</v>
      </c>
    </row>
    <row r="236" spans="1:17" ht="17" customHeight="1" x14ac:dyDescent="0.2">
      <c r="A236" s="10">
        <v>46181</v>
      </c>
      <c r="B236" s="11" t="s">
        <v>234</v>
      </c>
      <c r="C236" s="11">
        <v>14</v>
      </c>
      <c r="D236" s="13">
        <v>0</v>
      </c>
      <c r="E236" s="13">
        <v>15</v>
      </c>
      <c r="F236" s="13">
        <v>0</v>
      </c>
      <c r="G236" s="12">
        <f t="shared" si="5"/>
        <v>60</v>
      </c>
      <c r="I236" s="11" t="s">
        <v>204</v>
      </c>
      <c r="J236" s="13" t="s">
        <v>223</v>
      </c>
      <c r="N236" s="11" t="s">
        <v>179</v>
      </c>
      <c r="Q236" s="21" t="s">
        <v>510</v>
      </c>
    </row>
    <row r="237" spans="1:17" x14ac:dyDescent="0.2">
      <c r="C237" s="11">
        <v>15</v>
      </c>
      <c r="D237" s="13">
        <v>30</v>
      </c>
      <c r="E237" s="13">
        <v>16</v>
      </c>
      <c r="F237" s="13">
        <v>30</v>
      </c>
      <c r="G237" s="12">
        <f t="shared" si="5"/>
        <v>60</v>
      </c>
      <c r="N237" s="11" t="s">
        <v>179</v>
      </c>
      <c r="Q237" s="14" t="s">
        <v>511</v>
      </c>
    </row>
    <row r="238" spans="1:17" ht="17" customHeight="1" x14ac:dyDescent="0.2">
      <c r="C238" s="11">
        <v>22</v>
      </c>
      <c r="D238" s="13">
        <v>45</v>
      </c>
      <c r="E238" s="13">
        <v>23</v>
      </c>
      <c r="F238" s="13">
        <v>45</v>
      </c>
      <c r="G238" s="12">
        <f t="shared" si="5"/>
        <v>60</v>
      </c>
      <c r="Q238" s="21" t="s">
        <v>512</v>
      </c>
    </row>
  </sheetData>
  <dataConsolidate/>
  <phoneticPr fontId="2" type="noConversion"/>
  <dataValidations count="14">
    <dataValidation type="list" allowBlank="1" showInputMessage="1" showErrorMessage="1" sqref="E2:E9 E11:E1048576 C2:C1048576" xr:uid="{250896C9-630A-5549-99B3-7D37F7FF2152}">
      <formula1>"0,1,2,3,4,5,6,7,8,9,10,11,12,13,14,15,16,17,18,19,20,21,22,23"</formula1>
    </dataValidation>
    <dataValidation type="list" allowBlank="1" showInputMessage="1" showErrorMessage="1" sqref="M2:M134 J200:J341 J20:J199 O235" xr:uid="{58260E9F-6A77-B44D-AF51-4BA067A8271F}">
      <formula1>INDIRECT(I2)</formula1>
    </dataValidation>
    <dataValidation type="list" allowBlank="1" showInputMessage="1" showErrorMessage="1" sqref="N33:N34 K47 N64 M135:M1048576 N169" xr:uid="{AB1EE3F8-F0B5-C74B-A768-21D63B7B5615}">
      <formula1>INDIRECT(#REF!)</formula1>
    </dataValidation>
    <dataValidation type="list" allowBlank="1" showInputMessage="1" showErrorMessage="1" sqref="K2:K47 K49:K223" xr:uid="{0B551AFB-3C94-0048-9FA0-979739FF9BFD}">
      <formula1>INDIRECT(H2)</formula1>
    </dataValidation>
    <dataValidation type="list" allowBlank="1" showInputMessage="1" showErrorMessage="1" sqref="K53" xr:uid="{AED8F32E-A215-9C45-8C45-9390C521A152}">
      <formula1>INDIRECT(I54)</formula1>
    </dataValidation>
    <dataValidation type="list" allowBlank="1" showInputMessage="1" showErrorMessage="1" sqref="J1:J19" xr:uid="{4382DB0D-82BD-4145-9736-5C7264A9FFDB}">
      <formula1>INDIRECT(I1048543)</formula1>
    </dataValidation>
    <dataValidation type="list" allowBlank="1" showInputMessage="1" showErrorMessage="1" sqref="E129 D161:D1048576 D2:D159 F1:F1048576" xr:uid="{A4D72672-4A2D-9841-97E3-A90FD03916A7}">
      <formula1>"00,05,10,15,20,25,30,35,40,45,50,55"</formula1>
    </dataValidation>
    <dataValidation type="list" allowBlank="1" showInputMessage="1" showErrorMessage="1" sqref="I1:I1048576" xr:uid="{18BAA3A4-7A53-B445-B225-5AA8F4A8330D}">
      <formula1>"学习,复习,练习"</formula1>
    </dataValidation>
    <dataValidation type="list" allowBlank="1" showInputMessage="1" showErrorMessage="1" sqref="B2:B1048576" xr:uid="{52B1F0A9-0DEF-8843-9542-C9C32E3073AE}">
      <formula1>"周一,周二,周三,周四,周五,周六,周日"</formula1>
    </dataValidation>
    <dataValidation type="list" allowBlank="1" showInputMessage="1" showErrorMessage="1" sqref="L1:L1048576" xr:uid="{ACB41CFB-98E7-8F45-8D4A-853B2994F322}">
      <formula1>INDIRECT(K16)</formula1>
    </dataValidation>
    <dataValidation type="list" allowBlank="1" showInputMessage="1" showErrorMessage="1" sqref="D160" xr:uid="{D08793EE-2710-1B41-88F7-4C95D9BCD15E}">
      <formula1>INDIRECT(K126)</formula1>
    </dataValidation>
    <dataValidation type="list" allowBlank="1" showInputMessage="1" showErrorMessage="1" sqref="O1:O202 O204:O213 O214 O215:O234 O236:O1048576" xr:uid="{48530241-6674-3343-A903-FF52C1A0EDD5}">
      <formula1>INDIRECT(N12)</formula1>
    </dataValidation>
    <dataValidation type="list" allowBlank="1" showInputMessage="1" showErrorMessage="1" sqref="O203" xr:uid="{C5E83091-70C4-C84C-8279-95DCF502BC7A}">
      <formula1>INDIRECT(N179)</formula1>
    </dataValidation>
    <dataValidation type="list" allowBlank="1" showInputMessage="1" showErrorMessage="1" sqref="N230:N1048576 N2:N228" xr:uid="{9D8B5AE9-50F1-6342-9AC2-DE19461BE4CC}">
      <formula1>"主观评估,客观评估"</formula1>
    </dataValidation>
  </dataValidations>
  <hyperlinks>
    <hyperlink ref="P26" r:id="rId1" xr:uid="{00000000-0004-0000-0000-000000000000}"/>
    <hyperlink ref="P24" r:id="rId2" xr:uid="{00000000-0004-0000-0000-000001000000}"/>
    <hyperlink ref="P27" r:id="rId3" xr:uid="{00000000-0004-0000-0000-000002000000}"/>
    <hyperlink ref="P28" r:id="rId4" xr:uid="{00000000-0004-0000-0000-000003000000}"/>
    <hyperlink ref="P30" r:id="rId5" xr:uid="{00000000-0004-0000-0000-000004000000}"/>
    <hyperlink ref="P33" r:id="rId6" xr:uid="{00000000-0004-0000-0000-000005000000}"/>
    <hyperlink ref="P35" r:id="rId7" xr:uid="{00000000-0004-0000-0000-000006000000}"/>
    <hyperlink ref="P36" r:id="rId8" xr:uid="{00000000-0004-0000-0000-000007000000}"/>
    <hyperlink ref="P37" r:id="rId9" xr:uid="{00000000-0004-0000-0000-000008000000}"/>
    <hyperlink ref="P45" r:id="rId10" xr:uid="{1445FFFC-84DB-614D-9DC8-FCAC56418CBC}"/>
    <hyperlink ref="P75" r:id="rId11" display="https://docs.google.com/document/d/1CH2_Qm5OZQJwghQJeNaY36jRjNh4lir7AdIrXOQYg3c/edit?usp=sharing" xr:uid="{450871A4-F370-304F-B0DA-D9FD78957F9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2E9DEB2-026E-5045-A432-15FF6AB2AF38}">
          <x14:formula1>
            <xm:f>基础信息!$A:$A</xm:f>
          </x14:formula1>
          <xm:sqref>H2:H31 H36:H37 H41:H1048576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C8EC-A186-B243-ACD7-2092821DAB4E}">
  <dimension ref="A1"/>
  <sheetViews>
    <sheetView workbookViewId="0"/>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54384-2B34-1F47-86CC-EFD2DC378EF0}">
  <dimension ref="A1:A2"/>
  <sheetViews>
    <sheetView workbookViewId="0">
      <selection activeCell="B13" sqref="B13"/>
    </sheetView>
  </sheetViews>
  <sheetFormatPr baseColWidth="10" defaultRowHeight="16" x14ac:dyDescent="0.2"/>
  <sheetData>
    <row r="1" spans="1:1" x14ac:dyDescent="0.2">
      <c r="A1" t="s">
        <v>381</v>
      </c>
    </row>
    <row r="2" spans="1:1" x14ac:dyDescent="0.2">
      <c r="A2" t="s">
        <v>396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3F90-BEE0-8F4A-A8E9-9DA25D1E021F}">
  <dimension ref="A1"/>
  <sheetViews>
    <sheetView workbookViewId="0">
      <selection sqref="A1:A1048576"/>
    </sheetView>
  </sheetViews>
  <sheetFormatPr baseColWidth="10" defaultRowHeight="16" x14ac:dyDescent="0.2"/>
  <sheetData>
    <row r="1" spans="1:1" x14ac:dyDescent="0.2">
      <c r="A1" t="s">
        <v>369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zoomScale="150" zoomScaleNormal="150" zoomScalePageLayoutView="150" workbookViewId="0">
      <selection activeCell="B2" sqref="B2"/>
    </sheetView>
  </sheetViews>
  <sheetFormatPr baseColWidth="10" defaultRowHeight="16" x14ac:dyDescent="0.2"/>
  <cols>
    <col min="1" max="1" width="5.5" style="3" bestFit="1" customWidth="1"/>
    <col min="2" max="2" width="85.83203125" style="1" customWidth="1"/>
  </cols>
  <sheetData>
    <row r="1" spans="1:2" ht="17" x14ac:dyDescent="0.2">
      <c r="A1" s="3" t="s">
        <v>0</v>
      </c>
      <c r="B1" s="2" t="s">
        <v>1</v>
      </c>
    </row>
    <row r="2" spans="1:2" ht="85" x14ac:dyDescent="0.2">
      <c r="A2" s="3" t="s">
        <v>28</v>
      </c>
      <c r="B2" s="1" t="s">
        <v>2</v>
      </c>
    </row>
    <row r="3" spans="1:2" ht="102" x14ac:dyDescent="0.2">
      <c r="A3" s="3" t="s">
        <v>29</v>
      </c>
      <c r="B3" s="1" t="s">
        <v>30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election activeCell="A25" sqref="A25"/>
    </sheetView>
  </sheetViews>
  <sheetFormatPr baseColWidth="10" defaultRowHeight="16" x14ac:dyDescent="0.2"/>
  <cols>
    <col min="1" max="1" width="31.6640625" bestFit="1" customWidth="1"/>
    <col min="2" max="3" width="9.5" bestFit="1" customWidth="1"/>
    <col min="4" max="4" width="23.5" bestFit="1" customWidth="1"/>
    <col min="5" max="5" width="25.5" bestFit="1" customWidth="1"/>
    <col min="6" max="6" width="4.1640625" bestFit="1" customWidth="1"/>
  </cols>
  <sheetData>
    <row r="1" spans="1:6" x14ac:dyDescent="0.2">
      <c r="A1" t="s">
        <v>124</v>
      </c>
      <c r="B1" t="s">
        <v>14</v>
      </c>
      <c r="C1" t="s">
        <v>14</v>
      </c>
      <c r="D1" t="s">
        <v>20</v>
      </c>
      <c r="E1" t="s">
        <v>33</v>
      </c>
      <c r="F1" t="s">
        <v>38</v>
      </c>
    </row>
    <row r="2" spans="1:6" x14ac:dyDescent="0.2">
      <c r="A2" t="s">
        <v>173</v>
      </c>
      <c r="B2" t="s">
        <v>15</v>
      </c>
      <c r="C2" t="s">
        <v>18</v>
      </c>
      <c r="D2" t="s">
        <v>21</v>
      </c>
      <c r="E2" t="s">
        <v>34</v>
      </c>
      <c r="F2" t="s">
        <v>39</v>
      </c>
    </row>
    <row r="3" spans="1:6" x14ac:dyDescent="0.2">
      <c r="A3" t="s">
        <v>52</v>
      </c>
      <c r="B3" t="s">
        <v>16</v>
      </c>
      <c r="C3" t="s">
        <v>16</v>
      </c>
      <c r="D3" t="s">
        <v>22</v>
      </c>
      <c r="E3" t="s">
        <v>35</v>
      </c>
      <c r="F3" t="s">
        <v>40</v>
      </c>
    </row>
    <row r="4" spans="1:6" x14ac:dyDescent="0.2">
      <c r="A4" t="s">
        <v>86</v>
      </c>
      <c r="B4" t="s">
        <v>25</v>
      </c>
      <c r="C4" t="s">
        <v>19</v>
      </c>
      <c r="D4" t="s">
        <v>23</v>
      </c>
      <c r="E4" t="s">
        <v>36</v>
      </c>
      <c r="F4" t="s">
        <v>41</v>
      </c>
    </row>
    <row r="5" spans="1:6" x14ac:dyDescent="0.2">
      <c r="A5" t="s">
        <v>135</v>
      </c>
      <c r="B5" t="s">
        <v>17</v>
      </c>
      <c r="D5" t="s">
        <v>24</v>
      </c>
      <c r="E5" t="s">
        <v>37</v>
      </c>
      <c r="F5" t="s">
        <v>42</v>
      </c>
    </row>
    <row r="6" spans="1:6" x14ac:dyDescent="0.2">
      <c r="A6" t="s">
        <v>129</v>
      </c>
      <c r="F6" t="s">
        <v>43</v>
      </c>
    </row>
    <row r="7" spans="1:6" x14ac:dyDescent="0.2">
      <c r="A7" t="s">
        <v>364</v>
      </c>
      <c r="F7" t="s">
        <v>44</v>
      </c>
    </row>
    <row r="8" spans="1:6" x14ac:dyDescent="0.2">
      <c r="A8" t="s">
        <v>359</v>
      </c>
      <c r="F8" t="s">
        <v>45</v>
      </c>
    </row>
    <row r="9" spans="1:6" x14ac:dyDescent="0.2">
      <c r="A9" t="s">
        <v>374</v>
      </c>
      <c r="F9" t="s">
        <v>46</v>
      </c>
    </row>
    <row r="10" spans="1:6" x14ac:dyDescent="0.2">
      <c r="A10" t="s">
        <v>449</v>
      </c>
      <c r="F10" t="s">
        <v>47</v>
      </c>
    </row>
    <row r="11" spans="1:6" x14ac:dyDescent="0.2">
      <c r="F11" t="s">
        <v>48</v>
      </c>
    </row>
    <row r="12" spans="1:6" x14ac:dyDescent="0.2">
      <c r="F12" t="s">
        <v>49</v>
      </c>
    </row>
    <row r="13" spans="1:6" x14ac:dyDescent="0.2">
      <c r="F13" t="s">
        <v>50</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A14" sqref="A14"/>
    </sheetView>
  </sheetViews>
  <sheetFormatPr baseColWidth="10" defaultRowHeight="16" x14ac:dyDescent="0.2"/>
  <sheetData>
    <row r="1" spans="1:1" x14ac:dyDescent="0.2">
      <c r="A1" t="s">
        <v>174</v>
      </c>
    </row>
    <row r="2" spans="1:1" x14ac:dyDescent="0.2">
      <c r="A2" t="s">
        <v>175</v>
      </c>
    </row>
    <row r="3" spans="1:1" x14ac:dyDescent="0.2">
      <c r="A3" t="s">
        <v>176</v>
      </c>
    </row>
    <row r="4" spans="1:1" x14ac:dyDescent="0.2">
      <c r="A4" t="s">
        <v>290</v>
      </c>
    </row>
    <row r="5" spans="1:1" x14ac:dyDescent="0.2">
      <c r="A5" t="s">
        <v>291</v>
      </c>
    </row>
    <row r="6" spans="1:1" x14ac:dyDescent="0.2">
      <c r="A6" t="s">
        <v>339</v>
      </c>
    </row>
    <row r="7" spans="1:1" x14ac:dyDescent="0.2">
      <c r="A7" t="s">
        <v>342</v>
      </c>
    </row>
    <row r="8" spans="1:1" x14ac:dyDescent="0.2">
      <c r="A8" t="s">
        <v>357</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zoomScale="131" workbookViewId="0">
      <selection activeCell="B10" sqref="B10"/>
    </sheetView>
  </sheetViews>
  <sheetFormatPr baseColWidth="10" defaultRowHeight="16" x14ac:dyDescent="0.2"/>
  <sheetData>
    <row r="1" spans="1:6" x14ac:dyDescent="0.2">
      <c r="A1" t="s">
        <v>157</v>
      </c>
      <c r="B1" t="s">
        <v>136</v>
      </c>
      <c r="C1" t="s">
        <v>142</v>
      </c>
      <c r="D1" t="s">
        <v>149</v>
      </c>
      <c r="E1" t="s">
        <v>155</v>
      </c>
      <c r="F1" t="s">
        <v>393</v>
      </c>
    </row>
    <row r="2" spans="1:6" x14ac:dyDescent="0.2">
      <c r="A2" t="s">
        <v>158</v>
      </c>
      <c r="B2" t="s">
        <v>137</v>
      </c>
      <c r="C2" t="s">
        <v>143</v>
      </c>
      <c r="D2" t="s">
        <v>150</v>
      </c>
      <c r="E2" t="s">
        <v>156</v>
      </c>
    </row>
    <row r="3" spans="1:6" x14ac:dyDescent="0.2">
      <c r="A3" t="s">
        <v>391</v>
      </c>
      <c r="B3" t="s">
        <v>138</v>
      </c>
      <c r="C3" t="s">
        <v>144</v>
      </c>
      <c r="D3" t="s">
        <v>151</v>
      </c>
    </row>
    <row r="4" spans="1:6" x14ac:dyDescent="0.2">
      <c r="A4" t="s">
        <v>296</v>
      </c>
      <c r="B4" t="s">
        <v>139</v>
      </c>
      <c r="C4" t="s">
        <v>145</v>
      </c>
      <c r="D4" t="s">
        <v>152</v>
      </c>
    </row>
    <row r="5" spans="1:6" x14ac:dyDescent="0.2">
      <c r="A5" t="s">
        <v>392</v>
      </c>
      <c r="B5" t="s">
        <v>140</v>
      </c>
      <c r="C5" t="s">
        <v>146</v>
      </c>
      <c r="D5" t="s">
        <v>153</v>
      </c>
    </row>
    <row r="6" spans="1:6" x14ac:dyDescent="0.2">
      <c r="A6" t="s">
        <v>467</v>
      </c>
      <c r="B6" t="s">
        <v>141</v>
      </c>
      <c r="C6" t="s">
        <v>147</v>
      </c>
      <c r="D6" t="s">
        <v>154</v>
      </c>
    </row>
    <row r="7" spans="1:6" x14ac:dyDescent="0.2">
      <c r="C7" t="s">
        <v>148</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
  <sheetViews>
    <sheetView workbookViewId="0">
      <selection activeCell="A9" sqref="A9"/>
    </sheetView>
  </sheetViews>
  <sheetFormatPr baseColWidth="10" defaultRowHeight="16" x14ac:dyDescent="0.2"/>
  <sheetData>
    <row r="1" spans="1:1" x14ac:dyDescent="0.2">
      <c r="A1" t="s">
        <v>130</v>
      </c>
    </row>
    <row r="2" spans="1:1" x14ac:dyDescent="0.2">
      <c r="A2" t="s">
        <v>131</v>
      </c>
    </row>
    <row r="3" spans="1:1" x14ac:dyDescent="0.2">
      <c r="A3" t="s">
        <v>132</v>
      </c>
    </row>
    <row r="4" spans="1:1" x14ac:dyDescent="0.2">
      <c r="A4" t="s">
        <v>133</v>
      </c>
    </row>
    <row r="5" spans="1:1" x14ac:dyDescent="0.2">
      <c r="A5" t="s">
        <v>134</v>
      </c>
    </row>
    <row r="6" spans="1:1" x14ac:dyDescent="0.2">
      <c r="A6" t="s">
        <v>334</v>
      </c>
    </row>
    <row r="7" spans="1:1" ht="34" x14ac:dyDescent="0.2">
      <c r="A7" s="15" t="s">
        <v>407</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
  <sheetViews>
    <sheetView zoomScale="90" workbookViewId="0">
      <selection activeCell="C21" sqref="C21"/>
    </sheetView>
  </sheetViews>
  <sheetFormatPr baseColWidth="10" defaultRowHeight="16" x14ac:dyDescent="0.2"/>
  <sheetData>
    <row r="1" spans="1:6" x14ac:dyDescent="0.2">
      <c r="A1" t="s">
        <v>125</v>
      </c>
      <c r="B1" t="s">
        <v>100</v>
      </c>
      <c r="C1" t="s">
        <v>106</v>
      </c>
      <c r="D1" t="s">
        <v>111</v>
      </c>
      <c r="E1" t="s">
        <v>115</v>
      </c>
      <c r="F1" t="s">
        <v>120</v>
      </c>
    </row>
    <row r="2" spans="1:6" x14ac:dyDescent="0.2">
      <c r="A2" t="s">
        <v>105</v>
      </c>
      <c r="B2" t="s">
        <v>101</v>
      </c>
      <c r="C2" t="s">
        <v>107</v>
      </c>
      <c r="D2" t="s">
        <v>112</v>
      </c>
      <c r="E2" t="s">
        <v>116</v>
      </c>
      <c r="F2" t="s">
        <v>121</v>
      </c>
    </row>
    <row r="3" spans="1:6" x14ac:dyDescent="0.2">
      <c r="A3" t="s">
        <v>126</v>
      </c>
      <c r="B3" t="s">
        <v>102</v>
      </c>
      <c r="C3" t="s">
        <v>108</v>
      </c>
      <c r="D3" t="s">
        <v>113</v>
      </c>
      <c r="E3" t="s">
        <v>117</v>
      </c>
      <c r="F3" t="s">
        <v>122</v>
      </c>
    </row>
    <row r="4" spans="1:6" x14ac:dyDescent="0.2">
      <c r="A4" t="s">
        <v>127</v>
      </c>
      <c r="B4" t="s">
        <v>103</v>
      </c>
      <c r="C4" t="s">
        <v>109</v>
      </c>
      <c r="D4" t="s">
        <v>114</v>
      </c>
      <c r="E4" t="s">
        <v>118</v>
      </c>
      <c r="F4" t="s">
        <v>123</v>
      </c>
    </row>
    <row r="5" spans="1:6" x14ac:dyDescent="0.2">
      <c r="A5" t="s">
        <v>128</v>
      </c>
      <c r="B5" t="s">
        <v>104</v>
      </c>
      <c r="C5" t="s">
        <v>110</v>
      </c>
      <c r="E5" t="s">
        <v>119</v>
      </c>
    </row>
    <row r="6" spans="1:6" x14ac:dyDescent="0.2">
      <c r="A6" t="s">
        <v>465</v>
      </c>
      <c r="F6" t="s">
        <v>337</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zoomScale="75" workbookViewId="0">
      <selection activeCell="B12" sqref="B12"/>
    </sheetView>
  </sheetViews>
  <sheetFormatPr baseColWidth="10" defaultRowHeight="16" x14ac:dyDescent="0.2"/>
  <cols>
    <col min="1" max="1" width="17.83203125" style="15" customWidth="1"/>
    <col min="2" max="2" width="21.6640625" style="15" customWidth="1"/>
    <col min="3" max="3" width="17.5" style="15" customWidth="1"/>
    <col min="4" max="4" width="27.6640625" style="15" customWidth="1"/>
    <col min="5" max="5" width="27.1640625" style="15" customWidth="1"/>
    <col min="6" max="6" width="10.83203125" style="15"/>
    <col min="7" max="7" width="16.5" customWidth="1"/>
  </cols>
  <sheetData>
    <row r="1" spans="1:10" ht="68" x14ac:dyDescent="0.2">
      <c r="A1" s="15" t="s">
        <v>53</v>
      </c>
      <c r="B1" s="15" t="s">
        <v>58</v>
      </c>
      <c r="C1" s="15" t="s">
        <v>63</v>
      </c>
      <c r="D1" s="15" t="s">
        <v>67</v>
      </c>
      <c r="E1" s="15" t="s">
        <v>73</v>
      </c>
      <c r="F1" s="15" t="s">
        <v>81</v>
      </c>
      <c r="G1" s="15" t="s">
        <v>160</v>
      </c>
      <c r="H1" s="15" t="s">
        <v>166</v>
      </c>
      <c r="I1" s="15" t="s">
        <v>252</v>
      </c>
      <c r="J1" s="15" t="s">
        <v>448</v>
      </c>
    </row>
    <row r="2" spans="1:10" ht="102" x14ac:dyDescent="0.2">
      <c r="A2" s="15" t="s">
        <v>54</v>
      </c>
      <c r="B2" s="15" t="s">
        <v>59</v>
      </c>
      <c r="C2" s="15" t="s">
        <v>64</v>
      </c>
      <c r="D2" s="15" t="s">
        <v>68</v>
      </c>
      <c r="E2" s="15" t="s">
        <v>74</v>
      </c>
      <c r="F2" s="15" t="s">
        <v>82</v>
      </c>
      <c r="G2" s="15" t="s">
        <v>161</v>
      </c>
      <c r="H2" s="15" t="s">
        <v>167</v>
      </c>
      <c r="I2" s="15" t="s">
        <v>253</v>
      </c>
    </row>
    <row r="3" spans="1:10" ht="68" x14ac:dyDescent="0.2">
      <c r="A3" s="15" t="s">
        <v>55</v>
      </c>
      <c r="B3" s="15" t="s">
        <v>60</v>
      </c>
      <c r="C3" s="15" t="s">
        <v>65</v>
      </c>
      <c r="D3" s="15" t="s">
        <v>69</v>
      </c>
      <c r="E3" s="15" t="s">
        <v>75</v>
      </c>
      <c r="F3" s="15" t="s">
        <v>83</v>
      </c>
      <c r="G3" s="15" t="s">
        <v>162</v>
      </c>
      <c r="H3" s="15" t="s">
        <v>168</v>
      </c>
      <c r="I3" s="15" t="s">
        <v>254</v>
      </c>
    </row>
    <row r="4" spans="1:10" ht="85" x14ac:dyDescent="0.2">
      <c r="A4" s="15" t="s">
        <v>57</v>
      </c>
      <c r="B4" s="15" t="s">
        <v>61</v>
      </c>
      <c r="C4" s="15" t="s">
        <v>66</v>
      </c>
      <c r="D4" s="15" t="s">
        <v>70</v>
      </c>
      <c r="E4" s="15" t="s">
        <v>76</v>
      </c>
      <c r="F4" s="15" t="s">
        <v>84</v>
      </c>
      <c r="G4" s="15" t="s">
        <v>163</v>
      </c>
      <c r="H4" s="15" t="s">
        <v>169</v>
      </c>
      <c r="I4" s="15" t="s">
        <v>255</v>
      </c>
    </row>
    <row r="5" spans="1:10" ht="119" x14ac:dyDescent="0.2">
      <c r="A5" s="15" t="s">
        <v>56</v>
      </c>
      <c r="B5" s="15" t="s">
        <v>62</v>
      </c>
      <c r="C5" s="15" t="s">
        <v>379</v>
      </c>
      <c r="D5" s="15" t="s">
        <v>71</v>
      </c>
      <c r="E5" s="15" t="s">
        <v>66</v>
      </c>
      <c r="F5" s="15" t="s">
        <v>85</v>
      </c>
      <c r="G5" s="15" t="s">
        <v>248</v>
      </c>
      <c r="H5" s="15" t="s">
        <v>249</v>
      </c>
      <c r="I5" s="15" t="s">
        <v>256</v>
      </c>
    </row>
    <row r="6" spans="1:10" ht="68" x14ac:dyDescent="0.2">
      <c r="A6" s="15" t="s">
        <v>159</v>
      </c>
      <c r="B6" s="15" t="s">
        <v>379</v>
      </c>
      <c r="D6" s="15" t="s">
        <v>72</v>
      </c>
      <c r="E6" s="15" t="s">
        <v>77</v>
      </c>
      <c r="F6" s="15" t="s">
        <v>379</v>
      </c>
      <c r="G6" s="15" t="s">
        <v>164</v>
      </c>
      <c r="H6" s="15" t="s">
        <v>170</v>
      </c>
      <c r="I6" s="15" t="s">
        <v>251</v>
      </c>
    </row>
    <row r="7" spans="1:10" ht="51" x14ac:dyDescent="0.2">
      <c r="A7" s="15" t="s">
        <v>247</v>
      </c>
      <c r="D7" s="15" t="s">
        <v>379</v>
      </c>
      <c r="E7" s="15" t="s">
        <v>78</v>
      </c>
      <c r="G7" s="15" t="s">
        <v>165</v>
      </c>
      <c r="H7" s="15" t="s">
        <v>171</v>
      </c>
      <c r="I7" s="15" t="s">
        <v>300</v>
      </c>
    </row>
    <row r="8" spans="1:10" ht="68" x14ac:dyDescent="0.2">
      <c r="A8" s="15" t="s">
        <v>257</v>
      </c>
      <c r="E8" s="15" t="s">
        <v>79</v>
      </c>
      <c r="G8" s="15" t="s">
        <v>379</v>
      </c>
      <c r="H8" s="15" t="s">
        <v>172</v>
      </c>
      <c r="I8" s="15" t="s">
        <v>379</v>
      </c>
    </row>
    <row r="9" spans="1:10" ht="34" x14ac:dyDescent="0.2">
      <c r="A9" s="15" t="s">
        <v>453</v>
      </c>
      <c r="E9" s="15" t="s">
        <v>80</v>
      </c>
      <c r="H9" s="15" t="s">
        <v>323</v>
      </c>
    </row>
    <row r="10" spans="1:10" ht="17" x14ac:dyDescent="0.2">
      <c r="A10" s="15" t="s">
        <v>447</v>
      </c>
      <c r="E10" s="17" t="s">
        <v>250</v>
      </c>
      <c r="H10" s="15" t="s">
        <v>379</v>
      </c>
    </row>
    <row r="11" spans="1:10" ht="17" x14ac:dyDescent="0.2">
      <c r="E11" s="15" t="s">
        <v>379</v>
      </c>
      <c r="G11" s="15"/>
      <c r="H11" s="15"/>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election activeCell="E1" sqref="E1:E1048576"/>
    </sheetView>
  </sheetViews>
  <sheetFormatPr baseColWidth="10" defaultRowHeight="16" x14ac:dyDescent="0.2"/>
  <cols>
    <col min="2" max="2" width="25.33203125" bestFit="1" customWidth="1"/>
    <col min="3" max="3" width="21" customWidth="1"/>
  </cols>
  <sheetData>
    <row r="1" spans="1:5" x14ac:dyDescent="0.2">
      <c r="A1" t="s">
        <v>87</v>
      </c>
      <c r="B1" t="s">
        <v>88</v>
      </c>
      <c r="C1" t="s">
        <v>93</v>
      </c>
      <c r="D1" t="s">
        <v>281</v>
      </c>
      <c r="E1" t="s">
        <v>451</v>
      </c>
    </row>
    <row r="2" spans="1:5" x14ac:dyDescent="0.2">
      <c r="A2" t="s">
        <v>282</v>
      </c>
      <c r="B2" t="s">
        <v>89</v>
      </c>
      <c r="C2" t="s">
        <v>94</v>
      </c>
      <c r="D2" t="s">
        <v>283</v>
      </c>
      <c r="E2">
        <v>2</v>
      </c>
    </row>
    <row r="3" spans="1:5" x14ac:dyDescent="0.2">
      <c r="A3" t="s">
        <v>284</v>
      </c>
      <c r="B3" t="s">
        <v>90</v>
      </c>
      <c r="C3" t="s">
        <v>95</v>
      </c>
      <c r="D3" t="s">
        <v>285</v>
      </c>
      <c r="E3">
        <v>3</v>
      </c>
    </row>
    <row r="4" spans="1:5" x14ac:dyDescent="0.2">
      <c r="A4" t="s">
        <v>360</v>
      </c>
      <c r="B4" t="s">
        <v>91</v>
      </c>
      <c r="C4" t="s">
        <v>96</v>
      </c>
      <c r="D4" t="s">
        <v>286</v>
      </c>
    </row>
    <row r="5" spans="1:5" x14ac:dyDescent="0.2">
      <c r="A5" t="s">
        <v>361</v>
      </c>
      <c r="B5" t="s">
        <v>92</v>
      </c>
      <c r="C5" t="s">
        <v>97</v>
      </c>
      <c r="D5" t="s">
        <v>287</v>
      </c>
    </row>
    <row r="6" spans="1:5" x14ac:dyDescent="0.2">
      <c r="C6" t="s">
        <v>98</v>
      </c>
      <c r="D6" t="s">
        <v>293</v>
      </c>
    </row>
    <row r="7" spans="1:5" x14ac:dyDescent="0.2">
      <c r="C7" t="s">
        <v>99</v>
      </c>
    </row>
  </sheetData>
  <phoneticPr fontId="2" type="noConversion"/>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B949-4D3A-804D-B260-25E288D1643A}">
  <dimension ref="A1:B1"/>
  <sheetViews>
    <sheetView workbookViewId="0">
      <selection sqref="A1:A1048576"/>
    </sheetView>
  </sheetViews>
  <sheetFormatPr baseColWidth="10" defaultRowHeight="16" x14ac:dyDescent="0.2"/>
  <sheetData>
    <row r="1" spans="1:2" x14ac:dyDescent="0.2">
      <c r="A1" t="s">
        <v>362</v>
      </c>
      <c r="B1"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39</vt:i4>
      </vt:variant>
    </vt:vector>
  </HeadingPairs>
  <TitlesOfParts>
    <vt:vector size="52" baseType="lpstr">
      <vt:lpstr>GPA学习行为记录表</vt:lpstr>
      <vt:lpstr>ap-micro</vt:lpstr>
      <vt:lpstr>个人项目</vt:lpstr>
      <vt:lpstr>AP_English_Lan</vt:lpstr>
      <vt:lpstr>填写说明</vt:lpstr>
      <vt:lpstr>基础信息</vt:lpstr>
      <vt:lpstr>Humanities_2_World_Literature</vt:lpstr>
      <vt:lpstr>Spanish_2_Honors</vt:lpstr>
      <vt:lpstr>Programming_for_Problem_Solving</vt:lpstr>
      <vt:lpstr>Humanities_2_World_History</vt:lpstr>
      <vt:lpstr>Cal_BC_Advanced</vt:lpstr>
      <vt:lpstr>Chemistry_Honors</vt:lpstr>
      <vt:lpstr>math_modelling</vt:lpstr>
      <vt:lpstr>AP_English_Lan</vt:lpstr>
      <vt:lpstr>AP_micro</vt:lpstr>
      <vt:lpstr>Cal_BC_Advanced</vt:lpstr>
      <vt:lpstr>Chapter_1_Communication_Skills</vt:lpstr>
      <vt:lpstr>Chapter_1_The_Cartesian_Plane_and_Functions</vt:lpstr>
      <vt:lpstr>Chapter_10_series</vt:lpstr>
      <vt:lpstr>Chapter_2_Grammar_Resources</vt:lpstr>
      <vt:lpstr>Chapter_2_Limits_and_Their_Properties</vt:lpstr>
      <vt:lpstr>Chapter_3_Assignments_and_Practice_Skills</vt:lpstr>
      <vt:lpstr>Chapter_3_Differentiation</vt:lpstr>
      <vt:lpstr>Chapter_4_Applications_of_Differentiation</vt:lpstr>
      <vt:lpstr>Chapter_4_Vocabulary_Requirements</vt:lpstr>
      <vt:lpstr>Chapter_5_house</vt:lpstr>
      <vt:lpstr>Chapter_5_Integration</vt:lpstr>
      <vt:lpstr>Chapter_6_Applications_of_Integration</vt:lpstr>
      <vt:lpstr>Chapter_7_Exponential_and_Logarithmic_Functions</vt:lpstr>
      <vt:lpstr>Chapter_8_Trig_Functions_and_Inverse_Trig_Functions</vt:lpstr>
      <vt:lpstr>Chemistry_Honors</vt:lpstr>
      <vt:lpstr>Humanities_2_World_History</vt:lpstr>
      <vt:lpstr>Humanities_2_World_Literature</vt:lpstr>
      <vt:lpstr>math_modelling</vt:lpstr>
      <vt:lpstr>Programming_for_Problem_Solving</vt:lpstr>
      <vt:lpstr>project</vt:lpstr>
      <vt:lpstr>Spanish_2_Honors</vt:lpstr>
      <vt:lpstr>Unit_1</vt:lpstr>
      <vt:lpstr>Unit_1_The_Middle_East</vt:lpstr>
      <vt:lpstr>Unit_2</vt:lpstr>
      <vt:lpstr>Unit_2_South_Asia</vt:lpstr>
      <vt:lpstr>Unit_3</vt:lpstr>
      <vt:lpstr>Unit_3_East_Asia</vt:lpstr>
      <vt:lpstr>Unit_4</vt:lpstr>
      <vt:lpstr>Unit_4_Globalization_and_the_Columbian_Exchange</vt:lpstr>
      <vt:lpstr>Unit_5_Renaissances_Reformations_and_Revolutions</vt:lpstr>
      <vt:lpstr>个人项目</vt:lpstr>
      <vt:lpstr>主观评估</vt:lpstr>
      <vt:lpstr>复习</vt:lpstr>
      <vt:lpstr>学习</vt:lpstr>
      <vt:lpstr>客观评估</vt:lpstr>
      <vt:lpstr>练习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e50426</cp:lastModifiedBy>
  <dcterms:created xsi:type="dcterms:W3CDTF">2025-11-04T12:14:44Z</dcterms:created>
  <dcterms:modified xsi:type="dcterms:W3CDTF">2026-06-08T16:08:01Z</dcterms:modified>
</cp:coreProperties>
</file>